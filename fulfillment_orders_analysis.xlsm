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ttl\Downloads\"/>
    </mc:Choice>
  </mc:AlternateContent>
  <xr:revisionPtr revIDLastSave="0" documentId="13_ncr:1_{BF33B062-9C27-411B-AAFE-FCD64FE272C8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Late Order Analysis" sheetId="2" r:id="rId1"/>
    <sheet name="DC Summary" sheetId="5" r:id="rId2"/>
    <sheet name="Orders" sheetId="1" r:id="rId3"/>
    <sheet name="Late Orders" sheetId="3" r:id="rId4"/>
  </sheets>
  <calcPr calcId="191029"/>
  <pivotCaches>
    <pivotCache cacheId="14" r:id="rId5"/>
    <pivotCache cacheId="1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11" i="3" l="1"/>
  <c r="P2" i="3"/>
  <c r="P3" i="3"/>
  <c r="P4" i="3"/>
  <c r="P5" i="3"/>
  <c r="P6" i="3"/>
  <c r="P7" i="3"/>
  <c r="P8" i="3"/>
  <c r="P9" i="3"/>
  <c r="P10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</calcChain>
</file>

<file path=xl/sharedStrings.xml><?xml version="1.0" encoding="utf-8"?>
<sst xmlns="http://schemas.openxmlformats.org/spreadsheetml/2006/main" count="5371" uniqueCount="666">
  <si>
    <t>Order_ID</t>
  </si>
  <si>
    <t>Vendor</t>
  </si>
  <si>
    <t>Product</t>
  </si>
  <si>
    <t>Distribution_Center</t>
  </si>
  <si>
    <t>Branch</t>
  </si>
  <si>
    <t>Order_Date</t>
  </si>
  <si>
    <t>Expected_Ship_Date</t>
  </si>
  <si>
    <t>Actual_Ship_Date</t>
  </si>
  <si>
    <t>Receipt_Date</t>
  </si>
  <si>
    <t>Order_Status</t>
  </si>
  <si>
    <t>Quantity</t>
  </si>
  <si>
    <t>Unit_Cost_USD</t>
  </si>
  <si>
    <t>Order_Value_USD</t>
  </si>
  <si>
    <t>Lead_Time_Days</t>
  </si>
  <si>
    <t>PO10000</t>
  </si>
  <si>
    <t>Honeywell Industrial</t>
  </si>
  <si>
    <t>Hydraulic Pump</t>
  </si>
  <si>
    <t>Orlando DC</t>
  </si>
  <si>
    <t>Branch D</t>
  </si>
  <si>
    <t>On Time</t>
  </si>
  <si>
    <t>PO10001</t>
  </si>
  <si>
    <t>Automation Sensor</t>
  </si>
  <si>
    <t>Dallas DC</t>
  </si>
  <si>
    <t>PO10002</t>
  </si>
  <si>
    <t>Rockwell Automation</t>
  </si>
  <si>
    <t>Control Valve</t>
  </si>
  <si>
    <t>Branch B</t>
  </si>
  <si>
    <t>Late</t>
  </si>
  <si>
    <t>PO10003</t>
  </si>
  <si>
    <t>SKF Bearings</t>
  </si>
  <si>
    <t>Drive Unit</t>
  </si>
  <si>
    <t>Branch A</t>
  </si>
  <si>
    <t>In Transit</t>
  </si>
  <si>
    <t>PO10004</t>
  </si>
  <si>
    <t>Gearbox Assembly</t>
  </si>
  <si>
    <t>Atlanta DC</t>
  </si>
  <si>
    <t>Delivered</t>
  </si>
  <si>
    <t>PO10005</t>
  </si>
  <si>
    <t>Bosch Rexroth</t>
  </si>
  <si>
    <t>Phoenix DC</t>
  </si>
  <si>
    <t>Branch F</t>
  </si>
  <si>
    <t>PO10006</t>
  </si>
  <si>
    <t>Parker Hannifin</t>
  </si>
  <si>
    <t>Industrial Motor</t>
  </si>
  <si>
    <t>PO10007</t>
  </si>
  <si>
    <t>Siemens Components</t>
  </si>
  <si>
    <t>Power Transmission Belt</t>
  </si>
  <si>
    <t>PO10008</t>
  </si>
  <si>
    <t>Schneider Electric</t>
  </si>
  <si>
    <t>PO10009</t>
  </si>
  <si>
    <t>PO10010</t>
  </si>
  <si>
    <t>Ball Bearings</t>
  </si>
  <si>
    <t>PO10011</t>
  </si>
  <si>
    <t>Emerson Electric</t>
  </si>
  <si>
    <t>PO10012</t>
  </si>
  <si>
    <t>PO10013</t>
  </si>
  <si>
    <t>Timken Supply</t>
  </si>
  <si>
    <t>Branch C</t>
  </si>
  <si>
    <t>PO10014</t>
  </si>
  <si>
    <t>Chicago DC</t>
  </si>
  <si>
    <t>PO10015</t>
  </si>
  <si>
    <t>PO10016</t>
  </si>
  <si>
    <t>PO10017</t>
  </si>
  <si>
    <t>Branch E</t>
  </si>
  <si>
    <t>PO10018</t>
  </si>
  <si>
    <t>PO10019</t>
  </si>
  <si>
    <t>PO10020</t>
  </si>
  <si>
    <t>PO10021</t>
  </si>
  <si>
    <t>PO10022</t>
  </si>
  <si>
    <t>PO10023</t>
  </si>
  <si>
    <t>PO10024</t>
  </si>
  <si>
    <t>PO10025</t>
  </si>
  <si>
    <t>PO10026</t>
  </si>
  <si>
    <t>PO10027</t>
  </si>
  <si>
    <t>PO10028</t>
  </si>
  <si>
    <t>PO10029</t>
  </si>
  <si>
    <t>PO10030</t>
  </si>
  <si>
    <t>PO10031</t>
  </si>
  <si>
    <t>ABB Industrial</t>
  </si>
  <si>
    <t>PO10032</t>
  </si>
  <si>
    <t>PO10033</t>
  </si>
  <si>
    <t>PO10034</t>
  </si>
  <si>
    <t>PO10035</t>
  </si>
  <si>
    <t>PO10036</t>
  </si>
  <si>
    <t>PO10037</t>
  </si>
  <si>
    <t>PO10038</t>
  </si>
  <si>
    <t>PO10039</t>
  </si>
  <si>
    <t>PO10040</t>
  </si>
  <si>
    <t>PO10041</t>
  </si>
  <si>
    <t>PO10042</t>
  </si>
  <si>
    <t>PO10043</t>
  </si>
  <si>
    <t>PO10044</t>
  </si>
  <si>
    <t>PO10045</t>
  </si>
  <si>
    <t>PO10046</t>
  </si>
  <si>
    <t>PO10047</t>
  </si>
  <si>
    <t>PO10048</t>
  </si>
  <si>
    <t>PO10049</t>
  </si>
  <si>
    <t>PO10050</t>
  </si>
  <si>
    <t>PO10051</t>
  </si>
  <si>
    <t>PO10052</t>
  </si>
  <si>
    <t>PO10053</t>
  </si>
  <si>
    <t>PO10054</t>
  </si>
  <si>
    <t>PO10055</t>
  </si>
  <si>
    <t>PO10056</t>
  </si>
  <si>
    <t>PO10057</t>
  </si>
  <si>
    <t>PO10058</t>
  </si>
  <si>
    <t>PO10059</t>
  </si>
  <si>
    <t>PO10060</t>
  </si>
  <si>
    <t>PO10061</t>
  </si>
  <si>
    <t>PO10062</t>
  </si>
  <si>
    <t>PO10063</t>
  </si>
  <si>
    <t>PO10064</t>
  </si>
  <si>
    <t>PO10065</t>
  </si>
  <si>
    <t>PO10066</t>
  </si>
  <si>
    <t>PO10067</t>
  </si>
  <si>
    <t>PO10068</t>
  </si>
  <si>
    <t>PO10069</t>
  </si>
  <si>
    <t>PO10070</t>
  </si>
  <si>
    <t>PO10071</t>
  </si>
  <si>
    <t>PO10072</t>
  </si>
  <si>
    <t>PO10073</t>
  </si>
  <si>
    <t>PO10074</t>
  </si>
  <si>
    <t>PO10075</t>
  </si>
  <si>
    <t>PO10076</t>
  </si>
  <si>
    <t>PO10077</t>
  </si>
  <si>
    <t>PO10078</t>
  </si>
  <si>
    <t>PO10079</t>
  </si>
  <si>
    <t>PO10080</t>
  </si>
  <si>
    <t>PO10081</t>
  </si>
  <si>
    <t>PO10082</t>
  </si>
  <si>
    <t>PO10083</t>
  </si>
  <si>
    <t>PO10084</t>
  </si>
  <si>
    <t>PO10085</t>
  </si>
  <si>
    <t>PO10086</t>
  </si>
  <si>
    <t>PO10087</t>
  </si>
  <si>
    <t>PO10088</t>
  </si>
  <si>
    <t>PO10089</t>
  </si>
  <si>
    <t>PO10090</t>
  </si>
  <si>
    <t>PO10091</t>
  </si>
  <si>
    <t>PO10092</t>
  </si>
  <si>
    <t>PO10093</t>
  </si>
  <si>
    <t>PO10094</t>
  </si>
  <si>
    <t>PO10095</t>
  </si>
  <si>
    <t>PO10096</t>
  </si>
  <si>
    <t>PO10097</t>
  </si>
  <si>
    <t>PO10098</t>
  </si>
  <si>
    <t>PO10099</t>
  </si>
  <si>
    <t>PO10100</t>
  </si>
  <si>
    <t>PO10101</t>
  </si>
  <si>
    <t>PO10102</t>
  </si>
  <si>
    <t>PO10103</t>
  </si>
  <si>
    <t>PO10104</t>
  </si>
  <si>
    <t>PO10105</t>
  </si>
  <si>
    <t>PO10106</t>
  </si>
  <si>
    <t>PO10107</t>
  </si>
  <si>
    <t>PO10108</t>
  </si>
  <si>
    <t>PO10109</t>
  </si>
  <si>
    <t>PO10110</t>
  </si>
  <si>
    <t>PO10111</t>
  </si>
  <si>
    <t>PO10112</t>
  </si>
  <si>
    <t>PO10113</t>
  </si>
  <si>
    <t>PO10114</t>
  </si>
  <si>
    <t>PO10115</t>
  </si>
  <si>
    <t>PO10116</t>
  </si>
  <si>
    <t>PO10117</t>
  </si>
  <si>
    <t>PO10118</t>
  </si>
  <si>
    <t>PO10119</t>
  </si>
  <si>
    <t>PO10120</t>
  </si>
  <si>
    <t>PO10121</t>
  </si>
  <si>
    <t>PO10122</t>
  </si>
  <si>
    <t>PO10123</t>
  </si>
  <si>
    <t>PO10124</t>
  </si>
  <si>
    <t>PO10125</t>
  </si>
  <si>
    <t>PO10126</t>
  </si>
  <si>
    <t>PO10127</t>
  </si>
  <si>
    <t>PO10128</t>
  </si>
  <si>
    <t>PO10129</t>
  </si>
  <si>
    <t>PO10130</t>
  </si>
  <si>
    <t>PO10131</t>
  </si>
  <si>
    <t>PO10132</t>
  </si>
  <si>
    <t>PO10133</t>
  </si>
  <si>
    <t>PO10134</t>
  </si>
  <si>
    <t>PO10135</t>
  </si>
  <si>
    <t>PO10136</t>
  </si>
  <si>
    <t>PO10137</t>
  </si>
  <si>
    <t>PO10138</t>
  </si>
  <si>
    <t>PO10139</t>
  </si>
  <si>
    <t>PO10140</t>
  </si>
  <si>
    <t>PO10141</t>
  </si>
  <si>
    <t>PO10142</t>
  </si>
  <si>
    <t>PO10143</t>
  </si>
  <si>
    <t>PO10144</t>
  </si>
  <si>
    <t>PO10145</t>
  </si>
  <si>
    <t>PO10146</t>
  </si>
  <si>
    <t>PO10147</t>
  </si>
  <si>
    <t>PO10148</t>
  </si>
  <si>
    <t>PO10149</t>
  </si>
  <si>
    <t>PO10150</t>
  </si>
  <si>
    <t>PO10151</t>
  </si>
  <si>
    <t>PO10152</t>
  </si>
  <si>
    <t>PO10153</t>
  </si>
  <si>
    <t>PO10154</t>
  </si>
  <si>
    <t>PO10155</t>
  </si>
  <si>
    <t>PO10156</t>
  </si>
  <si>
    <t>PO10157</t>
  </si>
  <si>
    <t>PO10158</t>
  </si>
  <si>
    <t>PO10159</t>
  </si>
  <si>
    <t>PO10160</t>
  </si>
  <si>
    <t>PO10161</t>
  </si>
  <si>
    <t>PO10162</t>
  </si>
  <si>
    <t>PO10163</t>
  </si>
  <si>
    <t>PO10164</t>
  </si>
  <si>
    <t>PO10165</t>
  </si>
  <si>
    <t>PO10166</t>
  </si>
  <si>
    <t>PO10167</t>
  </si>
  <si>
    <t>PO10168</t>
  </si>
  <si>
    <t>PO10169</t>
  </si>
  <si>
    <t>PO10170</t>
  </si>
  <si>
    <t>PO10171</t>
  </si>
  <si>
    <t>PO10172</t>
  </si>
  <si>
    <t>PO10173</t>
  </si>
  <si>
    <t>PO10174</t>
  </si>
  <si>
    <t>PO10175</t>
  </si>
  <si>
    <t>PO10176</t>
  </si>
  <si>
    <t>PO10177</t>
  </si>
  <si>
    <t>PO10178</t>
  </si>
  <si>
    <t>PO10179</t>
  </si>
  <si>
    <t>PO10180</t>
  </si>
  <si>
    <t>PO10181</t>
  </si>
  <si>
    <t>PO10182</t>
  </si>
  <si>
    <t>PO10183</t>
  </si>
  <si>
    <t>PO10184</t>
  </si>
  <si>
    <t>PO10185</t>
  </si>
  <si>
    <t>PO10186</t>
  </si>
  <si>
    <t>PO10187</t>
  </si>
  <si>
    <t>PO10188</t>
  </si>
  <si>
    <t>PO10189</t>
  </si>
  <si>
    <t>PO10190</t>
  </si>
  <si>
    <t>PO10191</t>
  </si>
  <si>
    <t>PO10192</t>
  </si>
  <si>
    <t>PO10193</t>
  </si>
  <si>
    <t>PO10194</t>
  </si>
  <si>
    <t>PO10195</t>
  </si>
  <si>
    <t>PO10196</t>
  </si>
  <si>
    <t>PO10197</t>
  </si>
  <si>
    <t>PO10198</t>
  </si>
  <si>
    <t>PO10199</t>
  </si>
  <si>
    <t>PO10200</t>
  </si>
  <si>
    <t>PO10201</t>
  </si>
  <si>
    <t>PO10202</t>
  </si>
  <si>
    <t>PO10203</t>
  </si>
  <si>
    <t>PO10204</t>
  </si>
  <si>
    <t>PO10205</t>
  </si>
  <si>
    <t>PO10206</t>
  </si>
  <si>
    <t>PO10207</t>
  </si>
  <si>
    <t>PO10208</t>
  </si>
  <si>
    <t>PO10209</t>
  </si>
  <si>
    <t>PO10210</t>
  </si>
  <si>
    <t>PO10211</t>
  </si>
  <si>
    <t>PO10212</t>
  </si>
  <si>
    <t>PO10213</t>
  </si>
  <si>
    <t>PO10214</t>
  </si>
  <si>
    <t>PO10215</t>
  </si>
  <si>
    <t>PO10216</t>
  </si>
  <si>
    <t>PO10217</t>
  </si>
  <si>
    <t>PO10218</t>
  </si>
  <si>
    <t>PO10219</t>
  </si>
  <si>
    <t>PO10220</t>
  </si>
  <si>
    <t>PO10221</t>
  </si>
  <si>
    <t>PO10222</t>
  </si>
  <si>
    <t>PO10223</t>
  </si>
  <si>
    <t>PO10224</t>
  </si>
  <si>
    <t>PO10225</t>
  </si>
  <si>
    <t>PO10226</t>
  </si>
  <si>
    <t>PO10227</t>
  </si>
  <si>
    <t>PO10228</t>
  </si>
  <si>
    <t>PO10229</t>
  </si>
  <si>
    <t>PO10230</t>
  </si>
  <si>
    <t>PO10231</t>
  </si>
  <si>
    <t>PO10232</t>
  </si>
  <si>
    <t>PO10233</t>
  </si>
  <si>
    <t>PO10234</t>
  </si>
  <si>
    <t>PO10235</t>
  </si>
  <si>
    <t>PO10236</t>
  </si>
  <si>
    <t>PO10237</t>
  </si>
  <si>
    <t>PO10238</t>
  </si>
  <si>
    <t>PO10239</t>
  </si>
  <si>
    <t>PO10240</t>
  </si>
  <si>
    <t>PO10241</t>
  </si>
  <si>
    <t>PO10242</t>
  </si>
  <si>
    <t>PO10243</t>
  </si>
  <si>
    <t>PO10244</t>
  </si>
  <si>
    <t>PO10245</t>
  </si>
  <si>
    <t>PO10246</t>
  </si>
  <si>
    <t>PO10247</t>
  </si>
  <si>
    <t>PO10248</t>
  </si>
  <si>
    <t>PO10249</t>
  </si>
  <si>
    <t>PO10250</t>
  </si>
  <si>
    <t>PO10251</t>
  </si>
  <si>
    <t>PO10252</t>
  </si>
  <si>
    <t>PO10253</t>
  </si>
  <si>
    <t>PO10254</t>
  </si>
  <si>
    <t>PO10255</t>
  </si>
  <si>
    <t>PO10256</t>
  </si>
  <si>
    <t>PO10257</t>
  </si>
  <si>
    <t>PO10258</t>
  </si>
  <si>
    <t>PO10259</t>
  </si>
  <si>
    <t>PO10260</t>
  </si>
  <si>
    <t>PO10261</t>
  </si>
  <si>
    <t>PO10262</t>
  </si>
  <si>
    <t>PO10263</t>
  </si>
  <si>
    <t>PO10264</t>
  </si>
  <si>
    <t>PO10265</t>
  </si>
  <si>
    <t>PO10266</t>
  </si>
  <si>
    <t>PO10267</t>
  </si>
  <si>
    <t>PO10268</t>
  </si>
  <si>
    <t>PO10269</t>
  </si>
  <si>
    <t>PO10270</t>
  </si>
  <si>
    <t>PO10271</t>
  </si>
  <si>
    <t>PO10272</t>
  </si>
  <si>
    <t>PO10273</t>
  </si>
  <si>
    <t>PO10274</t>
  </si>
  <si>
    <t>PO10275</t>
  </si>
  <si>
    <t>PO10276</t>
  </si>
  <si>
    <t>PO10277</t>
  </si>
  <si>
    <t>PO10278</t>
  </si>
  <si>
    <t>PO10279</t>
  </si>
  <si>
    <t>PO10280</t>
  </si>
  <si>
    <t>PO10281</t>
  </si>
  <si>
    <t>PO10282</t>
  </si>
  <si>
    <t>PO10283</t>
  </si>
  <si>
    <t>PO10284</t>
  </si>
  <si>
    <t>PO10285</t>
  </si>
  <si>
    <t>PO10286</t>
  </si>
  <si>
    <t>PO10287</t>
  </si>
  <si>
    <t>PO10288</t>
  </si>
  <si>
    <t>PO10289</t>
  </si>
  <si>
    <t>PO10290</t>
  </si>
  <si>
    <t>PO10291</t>
  </si>
  <si>
    <t>PO10292</t>
  </si>
  <si>
    <t>PO10293</t>
  </si>
  <si>
    <t>PO10294</t>
  </si>
  <si>
    <t>PO10295</t>
  </si>
  <si>
    <t>PO10296</t>
  </si>
  <si>
    <t>PO10297</t>
  </si>
  <si>
    <t>PO10298</t>
  </si>
  <si>
    <t>PO10299</t>
  </si>
  <si>
    <t>PO10300</t>
  </si>
  <si>
    <t>PO10301</t>
  </si>
  <si>
    <t>PO10302</t>
  </si>
  <si>
    <t>PO10303</t>
  </si>
  <si>
    <t>PO10304</t>
  </si>
  <si>
    <t>PO10305</t>
  </si>
  <si>
    <t>PO10306</t>
  </si>
  <si>
    <t>PO10307</t>
  </si>
  <si>
    <t>PO10308</t>
  </si>
  <si>
    <t>PO10309</t>
  </si>
  <si>
    <t>PO10310</t>
  </si>
  <si>
    <t>PO10311</t>
  </si>
  <si>
    <t>PO10312</t>
  </si>
  <si>
    <t>PO10313</t>
  </si>
  <si>
    <t>PO10314</t>
  </si>
  <si>
    <t>PO10315</t>
  </si>
  <si>
    <t>PO10316</t>
  </si>
  <si>
    <t>PO10317</t>
  </si>
  <si>
    <t>PO10318</t>
  </si>
  <si>
    <t>PO10319</t>
  </si>
  <si>
    <t>PO10320</t>
  </si>
  <si>
    <t>PO10321</t>
  </si>
  <si>
    <t>PO10322</t>
  </si>
  <si>
    <t>PO10323</t>
  </si>
  <si>
    <t>PO10324</t>
  </si>
  <si>
    <t>PO10325</t>
  </si>
  <si>
    <t>PO10326</t>
  </si>
  <si>
    <t>PO10327</t>
  </si>
  <si>
    <t>PO10328</t>
  </si>
  <si>
    <t>PO10329</t>
  </si>
  <si>
    <t>PO10330</t>
  </si>
  <si>
    <t>PO10331</t>
  </si>
  <si>
    <t>PO10332</t>
  </si>
  <si>
    <t>PO10333</t>
  </si>
  <si>
    <t>PO10334</t>
  </si>
  <si>
    <t>PO10335</t>
  </si>
  <si>
    <t>PO10336</t>
  </si>
  <si>
    <t>PO10337</t>
  </si>
  <si>
    <t>PO10338</t>
  </si>
  <si>
    <t>PO10339</t>
  </si>
  <si>
    <t>PO10340</t>
  </si>
  <si>
    <t>PO10341</t>
  </si>
  <si>
    <t>PO10342</t>
  </si>
  <si>
    <t>PO10343</t>
  </si>
  <si>
    <t>PO10344</t>
  </si>
  <si>
    <t>PO10345</t>
  </si>
  <si>
    <t>PO10346</t>
  </si>
  <si>
    <t>PO10347</t>
  </si>
  <si>
    <t>PO10348</t>
  </si>
  <si>
    <t>PO10349</t>
  </si>
  <si>
    <t>PO10350</t>
  </si>
  <si>
    <t>PO10351</t>
  </si>
  <si>
    <t>PO10352</t>
  </si>
  <si>
    <t>PO10353</t>
  </si>
  <si>
    <t>PO10354</t>
  </si>
  <si>
    <t>PO10355</t>
  </si>
  <si>
    <t>PO10356</t>
  </si>
  <si>
    <t>PO10357</t>
  </si>
  <si>
    <t>PO10358</t>
  </si>
  <si>
    <t>PO10359</t>
  </si>
  <si>
    <t>PO10360</t>
  </si>
  <si>
    <t>PO10361</t>
  </si>
  <si>
    <t>PO10362</t>
  </si>
  <si>
    <t>PO10363</t>
  </si>
  <si>
    <t>PO10364</t>
  </si>
  <si>
    <t>PO10365</t>
  </si>
  <si>
    <t>PO10366</t>
  </si>
  <si>
    <t>PO10367</t>
  </si>
  <si>
    <t>PO10368</t>
  </si>
  <si>
    <t>PO10369</t>
  </si>
  <si>
    <t>PO10370</t>
  </si>
  <si>
    <t>PO10371</t>
  </si>
  <si>
    <t>PO10372</t>
  </si>
  <si>
    <t>PO10373</t>
  </si>
  <si>
    <t>PO10374</t>
  </si>
  <si>
    <t>PO10375</t>
  </si>
  <si>
    <t>PO10376</t>
  </si>
  <si>
    <t>PO10377</t>
  </si>
  <si>
    <t>PO10378</t>
  </si>
  <si>
    <t>PO10379</t>
  </si>
  <si>
    <t>PO10380</t>
  </si>
  <si>
    <t>PO10381</t>
  </si>
  <si>
    <t>PO10382</t>
  </si>
  <si>
    <t>PO10383</t>
  </si>
  <si>
    <t>PO10384</t>
  </si>
  <si>
    <t>PO10385</t>
  </si>
  <si>
    <t>PO10386</t>
  </si>
  <si>
    <t>PO10387</t>
  </si>
  <si>
    <t>PO10388</t>
  </si>
  <si>
    <t>PO10389</t>
  </si>
  <si>
    <t>PO10390</t>
  </si>
  <si>
    <t>PO10391</t>
  </si>
  <si>
    <t>PO10392</t>
  </si>
  <si>
    <t>PO10393</t>
  </si>
  <si>
    <t>PO10394</t>
  </si>
  <si>
    <t>PO10395</t>
  </si>
  <si>
    <t>PO10396</t>
  </si>
  <si>
    <t>PO10397</t>
  </si>
  <si>
    <t>PO10398</t>
  </si>
  <si>
    <t>PO10399</t>
  </si>
  <si>
    <t>PO10400</t>
  </si>
  <si>
    <t>PO10401</t>
  </si>
  <si>
    <t>PO10402</t>
  </si>
  <si>
    <t>PO10403</t>
  </si>
  <si>
    <t>PO10404</t>
  </si>
  <si>
    <t>PO10405</t>
  </si>
  <si>
    <t>PO10406</t>
  </si>
  <si>
    <t>PO10407</t>
  </si>
  <si>
    <t>PO10408</t>
  </si>
  <si>
    <t>PO10409</t>
  </si>
  <si>
    <t>PO10410</t>
  </si>
  <si>
    <t>PO10411</t>
  </si>
  <si>
    <t>PO10412</t>
  </si>
  <si>
    <t>PO10413</t>
  </si>
  <si>
    <t>PO10414</t>
  </si>
  <si>
    <t>PO10415</t>
  </si>
  <si>
    <t>PO10416</t>
  </si>
  <si>
    <t>PO10417</t>
  </si>
  <si>
    <t>PO10418</t>
  </si>
  <si>
    <t>PO10419</t>
  </si>
  <si>
    <t>PO10420</t>
  </si>
  <si>
    <t>PO10421</t>
  </si>
  <si>
    <t>PO10422</t>
  </si>
  <si>
    <t>PO10423</t>
  </si>
  <si>
    <t>PO10424</t>
  </si>
  <si>
    <t>PO10425</t>
  </si>
  <si>
    <t>PO10426</t>
  </si>
  <si>
    <t>PO10427</t>
  </si>
  <si>
    <t>PO10428</t>
  </si>
  <si>
    <t>PO10429</t>
  </si>
  <si>
    <t>PO10430</t>
  </si>
  <si>
    <t>PO10431</t>
  </si>
  <si>
    <t>PO10432</t>
  </si>
  <si>
    <t>PO10433</t>
  </si>
  <si>
    <t>PO10434</t>
  </si>
  <si>
    <t>PO10435</t>
  </si>
  <si>
    <t>PO10436</t>
  </si>
  <si>
    <t>PO10437</t>
  </si>
  <si>
    <t>PO10438</t>
  </si>
  <si>
    <t>PO10439</t>
  </si>
  <si>
    <t>PO10440</t>
  </si>
  <si>
    <t>PO10441</t>
  </si>
  <si>
    <t>PO10442</t>
  </si>
  <si>
    <t>PO10443</t>
  </si>
  <si>
    <t>PO10444</t>
  </si>
  <si>
    <t>PO10445</t>
  </si>
  <si>
    <t>PO10446</t>
  </si>
  <si>
    <t>PO10447</t>
  </si>
  <si>
    <t>PO10448</t>
  </si>
  <si>
    <t>PO10449</t>
  </si>
  <si>
    <t>PO10450</t>
  </si>
  <si>
    <t>PO10451</t>
  </si>
  <si>
    <t>PO10452</t>
  </si>
  <si>
    <t>PO10453</t>
  </si>
  <si>
    <t>PO10454</t>
  </si>
  <si>
    <t>PO10455</t>
  </si>
  <si>
    <t>PO10456</t>
  </si>
  <si>
    <t>PO10457</t>
  </si>
  <si>
    <t>PO10458</t>
  </si>
  <si>
    <t>PO10459</t>
  </si>
  <si>
    <t>PO10460</t>
  </si>
  <si>
    <t>PO10461</t>
  </si>
  <si>
    <t>PO10462</t>
  </si>
  <si>
    <t>PO10463</t>
  </si>
  <si>
    <t>PO10464</t>
  </si>
  <si>
    <t>PO10465</t>
  </si>
  <si>
    <t>PO10466</t>
  </si>
  <si>
    <t>PO10467</t>
  </si>
  <si>
    <t>PO10468</t>
  </si>
  <si>
    <t>PO10469</t>
  </si>
  <si>
    <t>PO10470</t>
  </si>
  <si>
    <t>PO10471</t>
  </si>
  <si>
    <t>PO10472</t>
  </si>
  <si>
    <t>PO10473</t>
  </si>
  <si>
    <t>PO10474</t>
  </si>
  <si>
    <t>PO10475</t>
  </si>
  <si>
    <t>PO10476</t>
  </si>
  <si>
    <t>PO10477</t>
  </si>
  <si>
    <t>PO10478</t>
  </si>
  <si>
    <t>PO10479</t>
  </si>
  <si>
    <t>PO10480</t>
  </si>
  <si>
    <t>PO10481</t>
  </si>
  <si>
    <t>PO10482</t>
  </si>
  <si>
    <t>PO10483</t>
  </si>
  <si>
    <t>PO10484</t>
  </si>
  <si>
    <t>PO10485</t>
  </si>
  <si>
    <t>PO10486</t>
  </si>
  <si>
    <t>PO10487</t>
  </si>
  <si>
    <t>PO10488</t>
  </si>
  <si>
    <t>PO10489</t>
  </si>
  <si>
    <t>PO10490</t>
  </si>
  <si>
    <t>PO10491</t>
  </si>
  <si>
    <t>PO10492</t>
  </si>
  <si>
    <t>PO10493</t>
  </si>
  <si>
    <t>PO10494</t>
  </si>
  <si>
    <t>PO10495</t>
  </si>
  <si>
    <t>PO10496</t>
  </si>
  <si>
    <t>PO10497</t>
  </si>
  <si>
    <t>PO10498</t>
  </si>
  <si>
    <t>PO10499</t>
  </si>
  <si>
    <t>PO10500</t>
  </si>
  <si>
    <t>PO10501</t>
  </si>
  <si>
    <t>PO10502</t>
  </si>
  <si>
    <t>PO10503</t>
  </si>
  <si>
    <t>PO10504</t>
  </si>
  <si>
    <t>PO10505</t>
  </si>
  <si>
    <t>PO10506</t>
  </si>
  <si>
    <t>PO10507</t>
  </si>
  <si>
    <t>PO10508</t>
  </si>
  <si>
    <t>PO10509</t>
  </si>
  <si>
    <t>PO10510</t>
  </si>
  <si>
    <t>PO10511</t>
  </si>
  <si>
    <t>PO10512</t>
  </si>
  <si>
    <t>PO10513</t>
  </si>
  <si>
    <t>PO10514</t>
  </si>
  <si>
    <t>PO10515</t>
  </si>
  <si>
    <t>PO10516</t>
  </si>
  <si>
    <t>PO10517</t>
  </si>
  <si>
    <t>PO10518</t>
  </si>
  <si>
    <t>PO10519</t>
  </si>
  <si>
    <t>PO10520</t>
  </si>
  <si>
    <t>PO10521</t>
  </si>
  <si>
    <t>PO10522</t>
  </si>
  <si>
    <t>PO10523</t>
  </si>
  <si>
    <t>PO10524</t>
  </si>
  <si>
    <t>PO10525</t>
  </si>
  <si>
    <t>PO10526</t>
  </si>
  <si>
    <t>PO10527</t>
  </si>
  <si>
    <t>PO10528</t>
  </si>
  <si>
    <t>PO10529</t>
  </si>
  <si>
    <t>PO10530</t>
  </si>
  <si>
    <t>PO10531</t>
  </si>
  <si>
    <t>PO10532</t>
  </si>
  <si>
    <t>PO10533</t>
  </si>
  <si>
    <t>PO10534</t>
  </si>
  <si>
    <t>PO10535</t>
  </si>
  <si>
    <t>PO10536</t>
  </si>
  <si>
    <t>PO10537</t>
  </si>
  <si>
    <t>PO10538</t>
  </si>
  <si>
    <t>PO10539</t>
  </si>
  <si>
    <t>PO10540</t>
  </si>
  <si>
    <t>PO10541</t>
  </si>
  <si>
    <t>PO10542</t>
  </si>
  <si>
    <t>PO10543</t>
  </si>
  <si>
    <t>PO10544</t>
  </si>
  <si>
    <t>PO10545</t>
  </si>
  <si>
    <t>PO10546</t>
  </si>
  <si>
    <t>PO10547</t>
  </si>
  <si>
    <t>PO10548</t>
  </si>
  <si>
    <t>PO10549</t>
  </si>
  <si>
    <t>PO10550</t>
  </si>
  <si>
    <t>PO10551</t>
  </si>
  <si>
    <t>PO10552</t>
  </si>
  <si>
    <t>PO10553</t>
  </si>
  <si>
    <t>PO10554</t>
  </si>
  <si>
    <t>PO10555</t>
  </si>
  <si>
    <t>PO10556</t>
  </si>
  <si>
    <t>PO10557</t>
  </si>
  <si>
    <t>PO10558</t>
  </si>
  <si>
    <t>PO10559</t>
  </si>
  <si>
    <t>PO10560</t>
  </si>
  <si>
    <t>PO10561</t>
  </si>
  <si>
    <t>PO10562</t>
  </si>
  <si>
    <t>PO10563</t>
  </si>
  <si>
    <t>PO10564</t>
  </si>
  <si>
    <t>PO10565</t>
  </si>
  <si>
    <t>PO10566</t>
  </si>
  <si>
    <t>PO10567</t>
  </si>
  <si>
    <t>PO10568</t>
  </si>
  <si>
    <t>PO10569</t>
  </si>
  <si>
    <t>PO10570</t>
  </si>
  <si>
    <t>PO10571</t>
  </si>
  <si>
    <t>PO10572</t>
  </si>
  <si>
    <t>PO10573</t>
  </si>
  <si>
    <t>PO10574</t>
  </si>
  <si>
    <t>PO10575</t>
  </si>
  <si>
    <t>PO10576</t>
  </si>
  <si>
    <t>PO10577</t>
  </si>
  <si>
    <t>PO10578</t>
  </si>
  <si>
    <t>PO10579</t>
  </si>
  <si>
    <t>PO10580</t>
  </si>
  <si>
    <t>PO10581</t>
  </si>
  <si>
    <t>PO10582</t>
  </si>
  <si>
    <t>PO10583</t>
  </si>
  <si>
    <t>PO10584</t>
  </si>
  <si>
    <t>PO10585</t>
  </si>
  <si>
    <t>PO10586</t>
  </si>
  <si>
    <t>PO10587</t>
  </si>
  <si>
    <t>PO10588</t>
  </si>
  <si>
    <t>PO10589</t>
  </si>
  <si>
    <t>PO10590</t>
  </si>
  <si>
    <t>PO10591</t>
  </si>
  <si>
    <t>PO10592</t>
  </si>
  <si>
    <t>PO10593</t>
  </si>
  <si>
    <t>PO10594</t>
  </si>
  <si>
    <t>PO10595</t>
  </si>
  <si>
    <t>PO10596</t>
  </si>
  <si>
    <t>PO10597</t>
  </si>
  <si>
    <t>PO10598</t>
  </si>
  <si>
    <t>PO10599</t>
  </si>
  <si>
    <t>Shipment_Delay</t>
  </si>
  <si>
    <t>Grand Total</t>
  </si>
  <si>
    <t>% of Total</t>
  </si>
  <si>
    <t>Order Count</t>
  </si>
  <si>
    <t>Status Count</t>
  </si>
  <si>
    <t>Order Status</t>
  </si>
  <si>
    <t>Average Shipment Delay</t>
  </si>
  <si>
    <t>Count of Shipment Delays</t>
  </si>
  <si>
    <t>Jan</t>
  </si>
  <si>
    <t>Feb</t>
  </si>
  <si>
    <t>Mar</t>
  </si>
  <si>
    <t>Apr</t>
  </si>
  <si>
    <t>Order Date</t>
  </si>
  <si>
    <t>Late Orders</t>
  </si>
  <si>
    <t>Average Lead Time Days</t>
  </si>
  <si>
    <t>Shipment Delay Count</t>
  </si>
  <si>
    <t>Total Order Value</t>
  </si>
  <si>
    <t>Distribution Center/Vendor</t>
  </si>
  <si>
    <t>Expedite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</si>
</sst>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73" formatCode="0.0"/>
    <numFmt numFmtId="176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/>
    <xf numFmtId="173" fontId="0" fillId="0" borderId="0" xfId="0" applyNumberFormat="1"/>
    <xf numFmtId="1" fontId="0" fillId="0" borderId="0" xfId="0" applyNumberFormat="1"/>
    <xf numFmtId="2" fontId="1" fillId="0" borderId="1" xfId="0" applyNumberFormat="1" applyFont="1" applyFill="1" applyBorder="1"/>
    <xf numFmtId="2" fontId="1" fillId="0" borderId="2" xfId="0" applyNumberFormat="1" applyFont="1" applyFill="1" applyBorder="1"/>
    <xf numFmtId="2" fontId="0" fillId="0" borderId="4" xfId="0" applyNumberFormat="1" applyFont="1" applyFill="1" applyBorder="1"/>
    <xf numFmtId="2" fontId="0" fillId="0" borderId="5" xfId="0" applyNumberFormat="1" applyFont="1" applyFill="1" applyBorder="1"/>
    <xf numFmtId="2" fontId="0" fillId="0" borderId="7" xfId="0" applyNumberFormat="1" applyFont="1" applyFill="1" applyBorder="1"/>
    <xf numFmtId="2" fontId="0" fillId="0" borderId="8" xfId="0" applyNumberFormat="1" applyFont="1" applyFill="1" applyBorder="1"/>
    <xf numFmtId="2" fontId="2" fillId="0" borderId="5" xfId="0" applyNumberFormat="1" applyFont="1" applyFill="1" applyBorder="1"/>
    <xf numFmtId="1" fontId="1" fillId="0" borderId="2" xfId="0" applyNumberFormat="1" applyFont="1" applyFill="1" applyBorder="1"/>
    <xf numFmtId="1" fontId="0" fillId="0" borderId="5" xfId="0" applyNumberFormat="1" applyFont="1" applyFill="1" applyBorder="1"/>
    <xf numFmtId="1" fontId="0" fillId="0" borderId="8" xfId="0" applyNumberFormat="1" applyFont="1" applyFill="1" applyBorder="1"/>
    <xf numFmtId="1" fontId="1" fillId="0" borderId="3" xfId="0" applyNumberFormat="1" applyFont="1" applyFill="1" applyBorder="1"/>
    <xf numFmtId="1" fontId="0" fillId="0" borderId="6" xfId="0" applyNumberFormat="1" applyFont="1" applyFill="1" applyBorder="1"/>
    <xf numFmtId="1" fontId="0" fillId="0" borderId="9" xfId="0" applyNumberFormat="1" applyFont="1" applyFill="1" applyBorder="1"/>
    <xf numFmtId="14" fontId="0" fillId="0" borderId="5" xfId="0" applyNumberFormat="1" applyFont="1" applyFill="1" applyBorder="1"/>
    <xf numFmtId="14" fontId="0" fillId="0" borderId="8" xfId="0" applyNumberFormat="1" applyFont="1" applyFill="1" applyBorder="1"/>
    <xf numFmtId="0" fontId="0" fillId="0" borderId="0" xfId="0" applyAlignment="1">
      <alignment horizontal="left" indent="1"/>
    </xf>
    <xf numFmtId="176" fontId="0" fillId="0" borderId="0" xfId="0" applyNumberFormat="1"/>
    <xf numFmtId="2" fontId="0" fillId="0" borderId="0" xfId="0" applyNumberFormat="1" applyFont="1" applyFill="1"/>
  </cellXfs>
  <cellStyles count="1">
    <cellStyle name="Normal" xfId="0" builtinId="0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numFmt numFmtId="1" formatCode="0"/>
    </dxf>
    <dxf>
      <numFmt numFmtId="176" formatCode="&quot;$&quot;#,##0.00"/>
    </dxf>
    <dxf>
      <alignment horizontal="right"/>
    </dxf>
    <dxf>
      <alignment horizontal="right"/>
    </dxf>
    <dxf>
      <numFmt numFmtId="1" formatCode="0"/>
    </dxf>
    <dxf>
      <numFmt numFmtId="176" formatCode="&quot;$&quot;#,##0.00"/>
    </dxf>
    <dxf>
      <numFmt numFmtId="1" formatCode="0"/>
    </dxf>
    <dxf>
      <numFmt numFmtId="176" formatCode="&quot;$&quot;#,##0.00"/>
    </dxf>
    <dxf>
      <numFmt numFmtId="1" formatCode="0"/>
    </dxf>
    <dxf>
      <numFmt numFmtId="176" formatCode="&quot;$&quot;#,##0.00"/>
    </dxf>
    <dxf>
      <numFmt numFmtId="1" formatCode="0"/>
    </dxf>
    <dxf>
      <numFmt numFmtId="176" formatCode="&quot;$&quot;#,##0.00"/>
    </dxf>
    <dxf>
      <numFmt numFmtId="1" formatCode="0"/>
    </dxf>
    <dxf>
      <numFmt numFmtId="176" formatCode="&quot;$&quot;#,##0.00"/>
    </dxf>
    <dxf>
      <numFmt numFmtId="1" formatCode="0"/>
    </dxf>
    <dxf>
      <numFmt numFmtId="176" formatCode="&quot;$&quot;#,##0.00"/>
    </dxf>
    <dxf>
      <numFmt numFmtId="1" formatCode="0"/>
    </dxf>
    <dxf>
      <numFmt numFmtId="176" formatCode="&quot;$&quot;#,##0.00"/>
    </dxf>
    <dxf>
      <numFmt numFmtId="1" formatCode="0"/>
    </dxf>
    <dxf>
      <numFmt numFmtId="176" formatCode="&quot;$&quot;#,##0.00"/>
    </dxf>
    <dxf>
      <numFmt numFmtId="1" formatCode="0"/>
    </dxf>
    <dxf>
      <numFmt numFmtId="176" formatCode="&quot;$&quot;#,##0.00"/>
    </dxf>
    <dxf>
      <numFmt numFmtId="176" formatCode="&quot;$&quot;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73" formatCode="0.0"/>
    </dxf>
    <dxf>
      <numFmt numFmtId="1" formatCode="0"/>
    </dxf>
    <dxf>
      <numFmt numFmtId="173" formatCode="0.0"/>
    </dxf>
    <dxf>
      <numFmt numFmtId="2" formatCode="0.00"/>
    </dxf>
    <dxf>
      <numFmt numFmtId="2" formatCode="0.00"/>
    </dxf>
    <dxf>
      <numFmt numFmtId="172" formatCode="0.000"/>
    </dxf>
    <dxf>
      <numFmt numFmtId="172" formatCode="0.000"/>
    </dxf>
    <dxf>
      <numFmt numFmtId="171" formatCode="0.0000"/>
    </dxf>
    <dxf>
      <numFmt numFmtId="171" formatCode="0.0000"/>
    </dxf>
    <dxf>
      <numFmt numFmtId="170" formatCode="0.00000"/>
    </dxf>
    <dxf>
      <numFmt numFmtId="170" formatCode="0.00000"/>
    </dxf>
    <dxf>
      <numFmt numFmtId="169" formatCode="0.000000"/>
    </dxf>
    <dxf>
      <numFmt numFmtId="169" formatCode="0.000000"/>
    </dxf>
    <dxf>
      <numFmt numFmtId="168" formatCode="0.0000000"/>
    </dxf>
    <dxf>
      <numFmt numFmtId="168" formatCode="0.0000000"/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9900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bgColor rgb="FF99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bottom style="thick">
          <color theme="0"/>
        </bottom>
      </border>
    </dxf>
    <dxf>
      <fill>
        <patternFill patternType="solid">
          <bgColor rgb="FF990000"/>
        </patternFill>
      </fill>
    </dxf>
    <dxf>
      <fill>
        <patternFill patternType="none">
          <fgColor indexed="64"/>
          <bgColor indexed="65"/>
        </patternFill>
      </fill>
    </dxf>
    <dxf>
      <numFmt numFmtId="1" formatCode="0"/>
    </dxf>
    <dxf>
      <numFmt numFmtId="173" formatCode="0.0"/>
    </dxf>
    <dxf>
      <alignment horizontal="right"/>
    </dxf>
    <dxf>
      <numFmt numFmtId="0" formatCode="General"/>
    </dxf>
    <dxf>
      <numFmt numFmtId="164" formatCode="yyyy\-mm\-dd"/>
    </dxf>
    <dxf>
      <numFmt numFmtId="164" formatCode="yyyy\-mm\-dd"/>
    </dxf>
    <dxf>
      <numFmt numFmtId="164" formatCode="yyyy\-mm\-dd"/>
    </dxf>
    <dxf>
      <numFmt numFmtId="164" formatCode="yyyy\-mm\-dd"/>
    </dxf>
  </dxfs>
  <tableStyles count="0" defaultTableStyle="TableStyleMedium9" defaultPivotStyle="PivotStyleLight16"/>
  <colors>
    <mruColors>
      <color rgb="FF990000"/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[fulfillment_orders_analysis.xlsm]Late Order Analysis!PivotTable1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99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4"/>
        <c:spPr>
          <a:solidFill>
            <a:schemeClr val="accent5">
              <a:lumMod val="75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5"/>
        <c:spPr>
          <a:solidFill>
            <a:schemeClr val="accent6">
              <a:lumMod val="75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'Late Order Analysis'!$C$2</c:f>
              <c:strCache>
                <c:ptCount val="1"/>
                <c:pt idx="0">
                  <c:v>Status Count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4-E6AC-4E2D-8B2D-502A32AA173C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6-E6AC-4E2D-8B2D-502A32AA173C}"/>
              </c:ext>
            </c:extLst>
          </c:dPt>
          <c:dPt>
            <c:idx val="2"/>
            <c:bubble3D val="0"/>
            <c:spPr>
              <a:solidFill>
                <a:srgbClr val="99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E6AC-4E2D-8B2D-502A32AA173C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E6AC-4E2D-8B2D-502A32AA17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'Late Order Analysis'!$B$3:$B$7</c:f>
              <c:strCache>
                <c:ptCount val="4"/>
                <c:pt idx="0">
                  <c:v>Delivered</c:v>
                </c:pt>
                <c:pt idx="1">
                  <c:v>In Transit</c:v>
                </c:pt>
                <c:pt idx="2">
                  <c:v>Late</c:v>
                </c:pt>
                <c:pt idx="3">
                  <c:v>On Time</c:v>
                </c:pt>
              </c:strCache>
            </c:strRef>
          </c:cat>
          <c:val>
            <c:numRef>
              <c:f>'Late Order Analysis'!$C$3:$C$7</c:f>
              <c:numCache>
                <c:formatCode>General</c:formatCode>
                <c:ptCount val="4"/>
                <c:pt idx="0">
                  <c:v>98</c:v>
                </c:pt>
                <c:pt idx="1">
                  <c:v>129</c:v>
                </c:pt>
                <c:pt idx="2">
                  <c:v>275</c:v>
                </c:pt>
                <c:pt idx="3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AC-4E2D-8B2D-502A32AA173C}"/>
            </c:ext>
          </c:extLst>
        </c:ser>
        <c:ser>
          <c:idx val="1"/>
          <c:order val="1"/>
          <c:tx>
            <c:strRef>
              <c:f>'Late Order Analysis'!$D$2</c:f>
              <c:strCache>
                <c:ptCount val="1"/>
                <c:pt idx="0">
                  <c:v>% of 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'Late Order Analysis'!$B$3:$B$7</c:f>
              <c:strCache>
                <c:ptCount val="4"/>
                <c:pt idx="0">
                  <c:v>Delivered</c:v>
                </c:pt>
                <c:pt idx="1">
                  <c:v>In Transit</c:v>
                </c:pt>
                <c:pt idx="2">
                  <c:v>Late</c:v>
                </c:pt>
                <c:pt idx="3">
                  <c:v>On Time</c:v>
                </c:pt>
              </c:strCache>
            </c:strRef>
          </c:cat>
          <c:val>
            <c:numRef>
              <c:f>'Late Order Analysis'!$D$3:$D$7</c:f>
              <c:numCache>
                <c:formatCode>0.00%</c:formatCode>
                <c:ptCount val="4"/>
                <c:pt idx="0">
                  <c:v>0.16333333333333333</c:v>
                </c:pt>
                <c:pt idx="1">
                  <c:v>0.215</c:v>
                </c:pt>
                <c:pt idx="2">
                  <c:v>0.45833333333333331</c:v>
                </c:pt>
                <c:pt idx="3">
                  <c:v>0.16333333333333333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AC-4E2D-8B2D-502A32AA173C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[fulfillment_orders_analysis.xlsm]Late Order Analysis!PivotTable3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Late Orders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rgbClr val="990000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rgbClr val="99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'Late Order Analysis'!$K$2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rgbClr val="99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rgbClr val="990000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'Late Order Analysis'!$J$3:$J$7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'Late Order Analysis'!$K$3:$K$7</c:f>
              <c:numCache>
                <c:formatCode>General</c:formatCode>
                <c:ptCount val="4"/>
                <c:pt idx="0">
                  <c:v>71</c:v>
                </c:pt>
                <c:pt idx="1">
                  <c:v>67</c:v>
                </c:pt>
                <c:pt idx="2">
                  <c:v>66</c:v>
                </c:pt>
                <c:pt idx="3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FF-44B4-844F-2281F3308C8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9415632"/>
        <c:axId val="909401232"/>
      </c:lineChart>
      <c:catAx>
        <c:axId val="90941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401232"/>
        <c:crosses val="autoZero"/>
        <c:auto val="1"/>
        <c:lblAlgn val="ctr"/>
        <c:lblOffset val="100"/>
        <c:noMultiLvlLbl val="0"/>
      </c:catAx>
      <c:valAx>
        <c:axId val="90940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41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[fulfillment_orders_analysis.xlsm]Late Order Analysis!PivotTable2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 Delays by Vendor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square"/>
          <c:size val="5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'Late Order Analysis'!$G$2</c:f>
              <c:strCache>
                <c:ptCount val="1"/>
                <c:pt idx="0">
                  <c:v>Average Shipment Delay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'Late Order Analysis'!$F$3:$F$13</c:f>
              <c:strCache>
                <c:ptCount val="10"/>
                <c:pt idx="0">
                  <c:v>Honeywell Industrial</c:v>
                </c:pt>
                <c:pt idx="1">
                  <c:v>Emerson Electric</c:v>
                </c:pt>
                <c:pt idx="2">
                  <c:v>Bosch Rexroth</c:v>
                </c:pt>
                <c:pt idx="3">
                  <c:v>Rockwell Automation</c:v>
                </c:pt>
                <c:pt idx="4">
                  <c:v>Siemens Components</c:v>
                </c:pt>
                <c:pt idx="5">
                  <c:v>SKF Bearings</c:v>
                </c:pt>
                <c:pt idx="6">
                  <c:v>Timken Supply</c:v>
                </c:pt>
                <c:pt idx="7">
                  <c:v>ABB Industrial</c:v>
                </c:pt>
                <c:pt idx="8">
                  <c:v>Schneider Electric</c:v>
                </c:pt>
                <c:pt idx="9">
                  <c:v>Parker Hannifin</c:v>
                </c:pt>
              </c:strCache>
            </c:strRef>
          </c:cat>
          <c:val>
            <c:numRef>
              <c:f>'Late Order Analysis'!$G$3:$G$13</c:f>
              <c:numCache>
                <c:formatCode>0.0</c:formatCode>
                <c:ptCount val="10"/>
                <c:pt idx="0">
                  <c:v>3.1764705882352939</c:v>
                </c:pt>
                <c:pt idx="1">
                  <c:v>2.736842105263158</c:v>
                </c:pt>
                <c:pt idx="2">
                  <c:v>3</c:v>
                </c:pt>
                <c:pt idx="3">
                  <c:v>2.5769230769230771</c:v>
                </c:pt>
                <c:pt idx="4">
                  <c:v>3.5925925925925926</c:v>
                </c:pt>
                <c:pt idx="5">
                  <c:v>2.6785714285714284</c:v>
                </c:pt>
                <c:pt idx="6">
                  <c:v>2.8620689655172415</c:v>
                </c:pt>
                <c:pt idx="7">
                  <c:v>2.4666666666666668</c:v>
                </c:pt>
                <c:pt idx="8">
                  <c:v>3.0833333333333335</c:v>
                </c:pt>
                <c:pt idx="9">
                  <c:v>2.4615384615384617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0F-4829-A52D-9CC23762C85A}"/>
            </c:ext>
          </c:extLst>
        </c:ser>
        <c:ser>
          <c:idx val="1"/>
          <c:order val="1"/>
          <c:tx>
            <c:strRef>
              <c:f>'Late Order Analysis'!$H$2</c:f>
              <c:strCache>
                <c:ptCount val="1"/>
                <c:pt idx="0">
                  <c:v>Count of Shipment Delays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'Late Order Analysis'!$F$3:$F$13</c:f>
              <c:strCache>
                <c:ptCount val="10"/>
                <c:pt idx="0">
                  <c:v>Honeywell Industrial</c:v>
                </c:pt>
                <c:pt idx="1">
                  <c:v>Emerson Electric</c:v>
                </c:pt>
                <c:pt idx="2">
                  <c:v>Bosch Rexroth</c:v>
                </c:pt>
                <c:pt idx="3">
                  <c:v>Rockwell Automation</c:v>
                </c:pt>
                <c:pt idx="4">
                  <c:v>Siemens Components</c:v>
                </c:pt>
                <c:pt idx="5">
                  <c:v>SKF Bearings</c:v>
                </c:pt>
                <c:pt idx="6">
                  <c:v>Timken Supply</c:v>
                </c:pt>
                <c:pt idx="7">
                  <c:v>ABB Industrial</c:v>
                </c:pt>
                <c:pt idx="8">
                  <c:v>Schneider Electric</c:v>
                </c:pt>
                <c:pt idx="9">
                  <c:v>Parker Hannifin</c:v>
                </c:pt>
              </c:strCache>
            </c:strRef>
          </c:cat>
          <c:val>
            <c:numRef>
              <c:f>'Late Order Analysis'!$H$3:$H$13</c:f>
              <c:numCache>
                <c:formatCode>0</c:formatCode>
                <c:ptCount val="10"/>
                <c:pt idx="0">
                  <c:v>17</c:v>
                </c:pt>
                <c:pt idx="1">
                  <c:v>19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  <c:pt idx="7">
                  <c:v>30</c:v>
                </c:pt>
                <c:pt idx="8">
                  <c:v>36</c:v>
                </c:pt>
                <c:pt idx="9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0F-4829-A52D-9CC23762C8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909399792"/>
        <c:axId val="909420432"/>
      </c:barChart>
      <c:catAx>
        <c:axId val="909399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420432"/>
        <c:crosses val="autoZero"/>
        <c:auto val="1"/>
        <c:lblAlgn val="ctr"/>
        <c:lblOffset val="100"/>
        <c:noMultiLvlLbl val="0"/>
      </c:catAx>
      <c:valAx>
        <c:axId val="90942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9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4</xdr:col>
      <xdr:colOff>0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438C8E-8B66-C2AD-73A8-814C19F618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0</xdr:colOff>
      <xdr:row>34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62D3EC-54A4-C462-4799-C8304D3B1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13</xdr:row>
      <xdr:rowOff>0</xdr:rowOff>
    </xdr:from>
    <xdr:to>
      <xdr:col>8</xdr:col>
      <xdr:colOff>38100</xdr:colOff>
      <xdr:row>34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8883E44-4850-D022-E234-D35C43953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stin tittle" refreshedDate="46131.387956365739" createdVersion="8" refreshedVersion="8" minRefreshableVersion="3" recordCount="600" xr:uid="{58C200ED-76D4-4B90-8B04-EC32FB7FE141}">
  <cacheSource type="worksheet">
    <worksheetSource name="ORders"/>
  </cacheSource>
  <cacheFields count="17">
    <cacheField name="Order_ID" numFmtId="0">
      <sharedItems/>
    </cacheField>
    <cacheField name="Vendor" numFmtId="0">
      <sharedItems count="10">
        <s v="Honeywell Industrial"/>
        <s v="Rockwell Automation"/>
        <s v="SKF Bearings"/>
        <s v="Bosch Rexroth"/>
        <s v="Parker Hannifin"/>
        <s v="Siemens Components"/>
        <s v="Schneider Electric"/>
        <s v="Emerson Electric"/>
        <s v="Timken Supply"/>
        <s v="ABB Industrial"/>
      </sharedItems>
    </cacheField>
    <cacheField name="Product" numFmtId="0">
      <sharedItems/>
    </cacheField>
    <cacheField name="Distribution_Center" numFmtId="0">
      <sharedItems count="5">
        <s v="Orlando DC"/>
        <s v="Dallas DC"/>
        <s v="Atlanta DC"/>
        <s v="Phoenix DC"/>
        <s v="Chicago DC"/>
      </sharedItems>
    </cacheField>
    <cacheField name="Branch" numFmtId="0">
      <sharedItems/>
    </cacheField>
    <cacheField name="Order_Date" numFmtId="164">
      <sharedItems containsSemiMixedTypes="0" containsNonDate="0" containsDate="1" containsString="0" minDate="2025-01-01T00:00:00" maxDate="2025-05-02T00:00:00" count="119">
        <d v="2025-03-23T00:00:00"/>
        <d v="2025-01-05T00:00:00"/>
        <d v="2025-03-17T00:00:00"/>
        <d v="2025-04-08T00:00:00"/>
        <d v="2025-04-29T00:00:00"/>
        <d v="2025-03-26T00:00:00"/>
        <d v="2025-04-17T00:00:00"/>
        <d v="2025-02-01T00:00:00"/>
        <d v="2025-04-16T00:00:00"/>
        <d v="2025-03-05T00:00:00"/>
        <d v="2025-04-25T00:00:00"/>
        <d v="2025-03-22T00:00:00"/>
        <d v="2025-03-29T00:00:00"/>
        <d v="2025-04-03T00:00:00"/>
        <d v="2025-01-31T00:00:00"/>
        <d v="2025-03-02T00:00:00"/>
        <d v="2025-03-25T00:00:00"/>
        <d v="2025-01-30T00:00:00"/>
        <d v="2025-04-14T00:00:00"/>
        <d v="2025-02-21T00:00:00"/>
        <d v="2025-02-22T00:00:00"/>
        <d v="2025-02-06T00:00:00"/>
        <d v="2025-04-05T00:00:00"/>
        <d v="2025-01-11T00:00:00"/>
        <d v="2025-01-06T00:00:00"/>
        <d v="2025-01-17T00:00:00"/>
        <d v="2025-01-13T00:00:00"/>
        <d v="2025-01-21T00:00:00"/>
        <d v="2025-04-30T00:00:00"/>
        <d v="2025-01-27T00:00:00"/>
        <d v="2025-05-01T00:00:00"/>
        <d v="2025-02-16T00:00:00"/>
        <d v="2025-03-21T00:00:00"/>
        <d v="2025-04-13T00:00:00"/>
        <d v="2025-04-15T00:00:00"/>
        <d v="2025-02-14T00:00:00"/>
        <d v="2025-03-16T00:00:00"/>
        <d v="2025-01-25T00:00:00"/>
        <d v="2025-03-27T00:00:00"/>
        <d v="2025-03-28T00:00:00"/>
        <d v="2025-01-19T00:00:00"/>
        <d v="2025-01-07T00:00:00"/>
        <d v="2025-04-07T00:00:00"/>
        <d v="2025-04-02T00:00:00"/>
        <d v="2025-01-20T00:00:00"/>
        <d v="2025-04-26T00:00:00"/>
        <d v="2025-02-04T00:00:00"/>
        <d v="2025-02-18T00:00:00"/>
        <d v="2025-01-03T00:00:00"/>
        <d v="2025-01-26T00:00:00"/>
        <d v="2025-02-02T00:00:00"/>
        <d v="2025-03-18T00:00:00"/>
        <d v="2025-04-19T00:00:00"/>
        <d v="2025-03-08T00:00:00"/>
        <d v="2025-01-12T00:00:00"/>
        <d v="2025-03-12T00:00:00"/>
        <d v="2025-03-10T00:00:00"/>
        <d v="2025-02-07T00:00:00"/>
        <d v="2025-03-31T00:00:00"/>
        <d v="2025-01-24T00:00:00"/>
        <d v="2025-02-27T00:00:00"/>
        <d v="2025-01-22T00:00:00"/>
        <d v="2025-02-10T00:00:00"/>
        <d v="2025-04-23T00:00:00"/>
        <d v="2025-01-02T00:00:00"/>
        <d v="2025-02-19T00:00:00"/>
        <d v="2025-03-06T00:00:00"/>
        <d v="2025-03-20T00:00:00"/>
        <d v="2025-02-08T00:00:00"/>
        <d v="2025-04-21T00:00:00"/>
        <d v="2025-01-29T00:00:00"/>
        <d v="2025-04-11T00:00:00"/>
        <d v="2025-04-22T00:00:00"/>
        <d v="2025-04-04T00:00:00"/>
        <d v="2025-02-26T00:00:00"/>
        <d v="2025-04-10T00:00:00"/>
        <d v="2025-01-14T00:00:00"/>
        <d v="2025-03-19T00:00:00"/>
        <d v="2025-02-15T00:00:00"/>
        <d v="2025-03-15T00:00:00"/>
        <d v="2025-02-23T00:00:00"/>
        <d v="2025-02-09T00:00:00"/>
        <d v="2025-01-16T00:00:00"/>
        <d v="2025-04-01T00:00:00"/>
        <d v="2025-02-25T00:00:00"/>
        <d v="2025-01-10T00:00:00"/>
        <d v="2025-01-08T00:00:00"/>
        <d v="2025-03-07T00:00:00"/>
        <d v="2025-04-12T00:00:00"/>
        <d v="2025-02-05T00:00:00"/>
        <d v="2025-01-04T00:00:00"/>
        <d v="2025-04-27T00:00:00"/>
        <d v="2025-03-24T00:00:00"/>
        <d v="2025-01-18T00:00:00"/>
        <d v="2025-02-20T00:00:00"/>
        <d v="2025-04-09T00:00:00"/>
        <d v="2025-02-28T00:00:00"/>
        <d v="2025-02-12T00:00:00"/>
        <d v="2025-03-03T00:00:00"/>
        <d v="2025-04-18T00:00:00"/>
        <d v="2025-01-01T00:00:00"/>
        <d v="2025-02-11T00:00:00"/>
        <d v="2025-01-15T00:00:00"/>
        <d v="2025-02-24T00:00:00"/>
        <d v="2025-04-06T00:00:00"/>
        <d v="2025-03-09T00:00:00"/>
        <d v="2025-01-09T00:00:00"/>
        <d v="2025-01-28T00:00:00"/>
        <d v="2025-01-23T00:00:00"/>
        <d v="2025-03-14T00:00:00"/>
        <d v="2025-03-04T00:00:00"/>
        <d v="2025-03-01T00:00:00"/>
        <d v="2025-02-03T00:00:00"/>
        <d v="2025-04-28T00:00:00"/>
        <d v="2025-04-24T00:00:00"/>
        <d v="2025-02-13T00:00:00"/>
        <d v="2025-03-11T00:00:00"/>
        <d v="2025-03-13T00:00:00"/>
        <d v="2025-03-30T00:00:00"/>
      </sharedItems>
      <fieldGroup par="16"/>
    </cacheField>
    <cacheField name="Expected_Ship_Date" numFmtId="164">
      <sharedItems containsSemiMixedTypes="0" containsNonDate="0" containsDate="1" containsString="0" minDate="2025-01-06T00:00:00" maxDate="2025-05-16T00:00:00"/>
    </cacheField>
    <cacheField name="Actual_Ship_Date" numFmtId="164">
      <sharedItems containsSemiMixedTypes="0" containsNonDate="0" containsDate="1" containsString="0" minDate="2025-01-06T00:00:00" maxDate="2025-05-20T00:00:00"/>
    </cacheField>
    <cacheField name="Receipt_Date" numFmtId="164">
      <sharedItems containsSemiMixedTypes="0" containsNonDate="0" containsDate="1" containsString="0" minDate="2025-01-08T00:00:00" maxDate="2025-05-21T00:00:00"/>
    </cacheField>
    <cacheField name="Order_Status" numFmtId="0">
      <sharedItems count="4">
        <s v="On Time"/>
        <s v="Late"/>
        <s v="In Transit"/>
        <s v="Delivered"/>
      </sharedItems>
    </cacheField>
    <cacheField name="Quantity" numFmtId="0">
      <sharedItems containsSemiMixedTypes="0" containsString="0" containsNumber="1" containsInteger="1" minValue="5" maxValue="200"/>
    </cacheField>
    <cacheField name="Unit_Cost_USD" numFmtId="0">
      <sharedItems containsSemiMixedTypes="0" containsString="0" containsNumber="1" minValue="15.16" maxValue="849.4"/>
    </cacheField>
    <cacheField name="Order_Value_USD" numFmtId="0">
      <sharedItems containsSemiMixedTypes="0" containsString="0" containsNumber="1" minValue="174.09" maxValue="164792"/>
    </cacheField>
    <cacheField name="Lead_Time_Days" numFmtId="0">
      <sharedItems containsSemiMixedTypes="0" containsString="0" containsNumber="1" containsInteger="1" minValue="3" maxValue="20"/>
    </cacheField>
    <cacheField name="Shipment_Delay" numFmtId="0">
      <sharedItems containsSemiMixedTypes="0" containsString="0" containsNumber="1" containsInteger="1" minValue="0" maxValue="5"/>
    </cacheField>
    <cacheField name="Days (Order_Date)" numFmtId="0" databaseField="0">
      <fieldGroup base="5">
        <rangePr groupBy="days" startDate="2025-01-01T00:00:00" endDate="2025-05-02T00:00:00"/>
        <groupItems count="368">
          <s v="&lt;1/1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/2025"/>
        </groupItems>
      </fieldGroup>
    </cacheField>
    <cacheField name="Months (Order_Date)" numFmtId="0" databaseField="0">
      <fieldGroup base="5">
        <rangePr groupBy="months" startDate="2025-01-01T00:00:00" endDate="2025-05-02T00:00:00"/>
        <groupItems count="14">
          <s v="&lt;1/1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stin tittle" refreshedDate="46131.424388888889" createdVersion="8" refreshedVersion="8" minRefreshableVersion="3" recordCount="275" xr:uid="{E6034D63-D451-4B6A-A1F3-AE04C6124380}">
  <cacheSource type="worksheet">
    <worksheetSource name="Late_Orders"/>
  </cacheSource>
  <cacheFields count="17">
    <cacheField name="Order_ID" numFmtId="2">
      <sharedItems/>
    </cacheField>
    <cacheField name="Vendor" numFmtId="2">
      <sharedItems count="10">
        <s v="Rockwell Automation"/>
        <s v="Bosch Rexroth"/>
        <s v="Siemens Components"/>
        <s v="Schneider Electric"/>
        <s v="Parker Hannifin"/>
        <s v="Emerson Electric"/>
        <s v="SKF Bearings"/>
        <s v="Timken Supply"/>
        <s v="Honeywell Industrial"/>
        <s v="ABB Industrial"/>
      </sharedItems>
    </cacheField>
    <cacheField name="Product" numFmtId="2">
      <sharedItems/>
    </cacheField>
    <cacheField name="Distribution_Center" numFmtId="2">
      <sharedItems/>
    </cacheField>
    <cacheField name="Branch" numFmtId="2">
      <sharedItems/>
    </cacheField>
    <cacheField name="Order_Date" numFmtId="14">
      <sharedItems containsSemiMixedTypes="0" containsNonDate="0" containsDate="1" containsString="0" minDate="2025-01-01T00:00:00" maxDate="2025-05-01T00:00:00" count="110">
        <d v="2025-03-17T00:00:00"/>
        <d v="2025-03-26T00:00:00"/>
        <d v="2025-02-01T00:00:00"/>
        <d v="2025-04-16T00:00:00"/>
        <d v="2025-04-25T00:00:00"/>
        <d v="2025-03-22T00:00:00"/>
        <d v="2025-04-08T00:00:00"/>
        <d v="2025-03-25T00:00:00"/>
        <d v="2025-01-31T00:00:00"/>
        <d v="2025-02-22T00:00:00"/>
        <d v="2025-02-06T00:00:00"/>
        <d v="2025-01-17T00:00:00"/>
        <d v="2025-01-13T00:00:00"/>
        <d v="2025-01-21T00:00:00"/>
        <d v="2025-02-16T00:00:00"/>
        <d v="2025-04-13T00:00:00"/>
        <d v="2025-02-14T00:00:00"/>
        <d v="2025-03-27T00:00:00"/>
        <d v="2025-03-28T00:00:00"/>
        <d v="2025-03-02T00:00:00"/>
        <d v="2025-01-19T00:00:00"/>
        <d v="2025-04-15T00:00:00"/>
        <d v="2025-04-07T00:00:00"/>
        <d v="2025-04-26T00:00:00"/>
        <d v="2025-02-04T00:00:00"/>
        <d v="2025-01-03T00:00:00"/>
        <d v="2025-01-26T00:00:00"/>
        <d v="2025-01-30T00:00:00"/>
        <d v="2025-01-02T00:00:00"/>
        <d v="2025-02-07T00:00:00"/>
        <d v="2025-02-19T00:00:00"/>
        <d v="2025-03-20T00:00:00"/>
        <d v="2025-02-08T00:00:00"/>
        <d v="2025-04-21T00:00:00"/>
        <d v="2025-04-22T00:00:00"/>
        <d v="2025-01-12T00:00:00"/>
        <d v="2025-04-04T00:00:00"/>
        <d v="2025-03-21T00:00:00"/>
        <d v="2025-02-15T00:00:00"/>
        <d v="2025-03-15T00:00:00"/>
        <d v="2025-01-10T00:00:00"/>
        <d v="2025-02-26T00:00:00"/>
        <d v="2025-03-12T00:00:00"/>
        <d v="2025-02-18T00:00:00"/>
        <d v="2025-04-17T00:00:00"/>
        <d v="2025-04-03T00:00:00"/>
        <d v="2025-02-23T00:00:00"/>
        <d v="2025-04-30T00:00:00"/>
        <d v="2025-01-06T00:00:00"/>
        <d v="2025-03-07T00:00:00"/>
        <d v="2025-03-05T00:00:00"/>
        <d v="2025-03-19T00:00:00"/>
        <d v="2025-02-27T00:00:00"/>
        <d v="2025-04-02T00:00:00"/>
        <d v="2025-01-04T00:00:00"/>
        <d v="2025-04-27T00:00:00"/>
        <d v="2025-03-10T00:00:00"/>
        <d v="2025-03-24T00:00:00"/>
        <d v="2025-01-18T00:00:00"/>
        <d v="2025-02-20T00:00:00"/>
        <d v="2025-02-10T00:00:00"/>
        <d v="2025-04-11T00:00:00"/>
        <d v="2025-03-06T00:00:00"/>
        <d v="2025-04-09T00:00:00"/>
        <d v="2025-01-24T00:00:00"/>
        <d v="2025-02-28T00:00:00"/>
        <d v="2025-02-12T00:00:00"/>
        <d v="2025-01-20T00:00:00"/>
        <d v="2025-01-05T00:00:00"/>
        <d v="2025-03-08T00:00:00"/>
        <d v="2025-01-07T00:00:00"/>
        <d v="2025-04-23T00:00:00"/>
        <d v="2025-01-22T00:00:00"/>
        <d v="2025-03-23T00:00:00"/>
        <d v="2025-03-16T00:00:00"/>
        <d v="2025-04-10T00:00:00"/>
        <d v="2025-02-02T00:00:00"/>
        <d v="2025-01-15T00:00:00"/>
        <d v="2025-02-24T00:00:00"/>
        <d v="2025-04-05T00:00:00"/>
        <d v="2025-04-14T00:00:00"/>
        <d v="2025-04-12T00:00:00"/>
        <d v="2025-02-11T00:00:00"/>
        <d v="2025-04-06T00:00:00"/>
        <d v="2025-01-01T00:00:00"/>
        <d v="2025-02-21T00:00:00"/>
        <d v="2025-01-09T00:00:00"/>
        <d v="2025-01-23T00:00:00"/>
        <d v="2025-03-14T00:00:00"/>
        <d v="2025-04-28T00:00:00"/>
        <d v="2025-02-09T00:00:00"/>
        <d v="2025-04-01T00:00:00"/>
        <d v="2025-04-18T00:00:00"/>
        <d v="2025-01-29T00:00:00"/>
        <d v="2025-01-27T00:00:00"/>
        <d v="2025-03-31T00:00:00"/>
        <d v="2025-01-11T00:00:00"/>
        <d v="2025-01-25T00:00:00"/>
        <d v="2025-03-11T00:00:00"/>
        <d v="2025-03-18T00:00:00"/>
        <d v="2025-04-24T00:00:00"/>
        <d v="2025-02-03T00:00:00"/>
        <d v="2025-03-13T00:00:00"/>
        <d v="2025-02-13T00:00:00"/>
        <d v="2025-01-16T00:00:00"/>
        <d v="2025-03-04T00:00:00"/>
        <d v="2025-04-19T00:00:00"/>
        <d v="2025-02-05T00:00:00"/>
        <d v="2025-04-29T00:00:00"/>
        <d v="2025-03-29T00:00:00"/>
      </sharedItems>
      <fieldGroup par="16"/>
    </cacheField>
    <cacheField name="Expected_Ship_Date" numFmtId="14">
      <sharedItems containsSemiMixedTypes="0" containsNonDate="0" containsDate="1" containsString="0" minDate="2025-01-06T00:00:00" maxDate="2025-05-12T00:00:00"/>
    </cacheField>
    <cacheField name="Actual_Ship_Date" numFmtId="14">
      <sharedItems containsSemiMixedTypes="0" containsNonDate="0" containsDate="1" containsString="0" minDate="2025-01-09T00:00:00" maxDate="2025-05-15T00:00:00"/>
    </cacheField>
    <cacheField name="Receipt_Date" numFmtId="14">
      <sharedItems containsSemiMixedTypes="0" containsNonDate="0" containsDate="1" containsString="0" minDate="2025-01-12T00:00:00" maxDate="2025-05-18T00:00:00"/>
    </cacheField>
    <cacheField name="Order_Status" numFmtId="2">
      <sharedItems count="1">
        <s v="Late"/>
      </sharedItems>
    </cacheField>
    <cacheField name="Quantity" numFmtId="1">
      <sharedItems containsSemiMixedTypes="0" containsString="0" containsNumber="1" containsInteger="1" minValue="6" maxValue="200"/>
    </cacheField>
    <cacheField name="Unit_Cost_USD" numFmtId="2">
      <sharedItems containsSemiMixedTypes="0" containsString="0" containsNumber="1" minValue="18.899999999999999" maxValue="846.22"/>
    </cacheField>
    <cacheField name="Order_Value_USD" numFmtId="2">
      <sharedItems containsSemiMixedTypes="0" containsString="0" containsNumber="1" minValue="174.09" maxValue="159937.67000000001"/>
    </cacheField>
    <cacheField name="Lead_Time_Days" numFmtId="1">
      <sharedItems containsSemiMixedTypes="0" containsString="0" containsNumber="1" containsInteger="1" minValue="4" maxValue="20"/>
    </cacheField>
    <cacheField name="Shipment_Delay" numFmtId="1">
      <sharedItems containsSemiMixedTypes="0" containsString="0" containsNumber="1" containsInteger="1" minValue="1" maxValue="5"/>
    </cacheField>
    <cacheField name="Days (Order_Date)" numFmtId="0" databaseField="0">
      <fieldGroup base="5">
        <rangePr groupBy="days" startDate="2025-01-01T00:00:00" endDate="2025-05-01T00:00:00"/>
        <groupItems count="368">
          <s v="&lt;1/1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/2025"/>
        </groupItems>
      </fieldGroup>
    </cacheField>
    <cacheField name="Months (Order_Date)" numFmtId="0" databaseField="0">
      <fieldGroup base="5">
        <rangePr groupBy="months" startDate="2025-01-01T00:00:00" endDate="2025-05-01T00:00:00"/>
        <groupItems count="14">
          <s v="&lt;1/1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s v="PO10000"/>
    <x v="0"/>
    <s v="Hydraulic Pump"/>
    <x v="0"/>
    <s v="Branch D"/>
    <x v="0"/>
    <d v="2025-03-27T00:00:00"/>
    <d v="2025-03-27T00:00:00"/>
    <d v="2025-03-30T00:00:00"/>
    <x v="0"/>
    <n v="193"/>
    <n v="100.58"/>
    <n v="19411.939999999999"/>
    <n v="4"/>
    <n v="0"/>
  </r>
  <r>
    <s v="PO10001"/>
    <x v="0"/>
    <s v="Automation Sensor"/>
    <x v="1"/>
    <s v="Branch D"/>
    <x v="1"/>
    <d v="2025-01-08T00:00:00"/>
    <d v="2025-01-08T00:00:00"/>
    <d v="2025-01-10T00:00:00"/>
    <x v="0"/>
    <n v="11"/>
    <n v="483.64"/>
    <n v="5320.04"/>
    <n v="3"/>
    <n v="0"/>
  </r>
  <r>
    <s v="PO10002"/>
    <x v="1"/>
    <s v="Control Valve"/>
    <x v="1"/>
    <s v="Branch B"/>
    <x v="2"/>
    <d v="2025-03-24T00:00:00"/>
    <d v="2025-03-29T00:00:00"/>
    <d v="2025-03-30T00:00:00"/>
    <x v="1"/>
    <n v="45"/>
    <n v="597.95000000000005"/>
    <n v="26907.75"/>
    <n v="12"/>
    <n v="5"/>
  </r>
  <r>
    <s v="PO10003"/>
    <x v="2"/>
    <s v="Drive Unit"/>
    <x v="0"/>
    <s v="Branch A"/>
    <x v="3"/>
    <d v="2025-04-16T00:00:00"/>
    <d v="2025-04-16T00:00:00"/>
    <d v="2025-04-17T00:00:00"/>
    <x v="2"/>
    <n v="93"/>
    <n v="519.11"/>
    <n v="48277.23"/>
    <n v="8"/>
    <n v="0"/>
  </r>
  <r>
    <s v="PO10004"/>
    <x v="1"/>
    <s v="Gearbox Assembly"/>
    <x v="2"/>
    <s v="Branch A"/>
    <x v="4"/>
    <d v="2025-05-08T00:00:00"/>
    <d v="2025-05-08T00:00:00"/>
    <d v="2025-05-13T00:00:00"/>
    <x v="3"/>
    <n v="163"/>
    <n v="754.35"/>
    <n v="122959.05"/>
    <n v="9"/>
    <n v="0"/>
  </r>
  <r>
    <s v="PO10005"/>
    <x v="3"/>
    <s v="Control Valve"/>
    <x v="3"/>
    <s v="Branch F"/>
    <x v="5"/>
    <d v="2025-04-01T00:00:00"/>
    <d v="2025-04-06T00:00:00"/>
    <d v="2025-04-09T00:00:00"/>
    <x v="1"/>
    <n v="64"/>
    <n v="738.51"/>
    <n v="47264.639999999999"/>
    <n v="11"/>
    <n v="5"/>
  </r>
  <r>
    <s v="PO10006"/>
    <x v="4"/>
    <s v="Industrial Motor"/>
    <x v="0"/>
    <s v="Branch F"/>
    <x v="6"/>
    <d v="2025-04-25T00:00:00"/>
    <d v="2025-04-25T00:00:00"/>
    <d v="2025-04-28T00:00:00"/>
    <x v="3"/>
    <n v="73"/>
    <n v="601.02"/>
    <n v="43874.46"/>
    <n v="8"/>
    <n v="0"/>
  </r>
  <r>
    <s v="PO10007"/>
    <x v="5"/>
    <s v="Power Transmission Belt"/>
    <x v="2"/>
    <s v="Branch B"/>
    <x v="7"/>
    <d v="2025-02-06T00:00:00"/>
    <d v="2025-02-07T00:00:00"/>
    <d v="2025-02-11T00:00:00"/>
    <x v="1"/>
    <n v="168"/>
    <n v="589.62"/>
    <n v="99056.16"/>
    <n v="6"/>
    <n v="1"/>
  </r>
  <r>
    <s v="PO10008"/>
    <x v="6"/>
    <s v="Power Transmission Belt"/>
    <x v="1"/>
    <s v="Branch F"/>
    <x v="8"/>
    <d v="2025-04-19T00:00:00"/>
    <d v="2025-04-24T00:00:00"/>
    <d v="2025-04-27T00:00:00"/>
    <x v="1"/>
    <n v="21"/>
    <n v="191.17"/>
    <n v="4014.57"/>
    <n v="8"/>
    <n v="5"/>
  </r>
  <r>
    <s v="PO10009"/>
    <x v="0"/>
    <s v="Control Valve"/>
    <x v="0"/>
    <s v="Branch D"/>
    <x v="9"/>
    <d v="2025-03-14T00:00:00"/>
    <d v="2025-03-17T00:00:00"/>
    <d v="2025-03-21T00:00:00"/>
    <x v="2"/>
    <n v="40"/>
    <n v="220.93"/>
    <n v="8837.2000000000007"/>
    <n v="12"/>
    <n v="3"/>
  </r>
  <r>
    <s v="PO10010"/>
    <x v="4"/>
    <s v="Ball Bearings"/>
    <x v="2"/>
    <s v="Branch B"/>
    <x v="10"/>
    <d v="2025-05-07T00:00:00"/>
    <d v="2025-05-08T00:00:00"/>
    <d v="2025-05-11T00:00:00"/>
    <x v="1"/>
    <n v="40"/>
    <n v="440.45"/>
    <n v="17618"/>
    <n v="13"/>
    <n v="1"/>
  </r>
  <r>
    <s v="PO10011"/>
    <x v="7"/>
    <s v="Control Valve"/>
    <x v="0"/>
    <s v="Branch A"/>
    <x v="11"/>
    <d v="2025-03-27T00:00:00"/>
    <d v="2025-04-01T00:00:00"/>
    <d v="2025-04-05T00:00:00"/>
    <x v="1"/>
    <n v="103"/>
    <n v="333.65"/>
    <n v="34365.949999999997"/>
    <n v="10"/>
    <n v="5"/>
  </r>
  <r>
    <s v="PO10012"/>
    <x v="3"/>
    <s v="Industrial Motor"/>
    <x v="3"/>
    <s v="Branch A"/>
    <x v="12"/>
    <d v="2025-04-12T00:00:00"/>
    <d v="2025-04-12T00:00:00"/>
    <d v="2025-04-17T00:00:00"/>
    <x v="3"/>
    <n v="92"/>
    <n v="108.15"/>
    <n v="9949.7999999999993"/>
    <n v="14"/>
    <n v="0"/>
  </r>
  <r>
    <s v="PO10013"/>
    <x v="8"/>
    <s v="Gearbox Assembly"/>
    <x v="1"/>
    <s v="Branch C"/>
    <x v="13"/>
    <d v="2025-04-17T00:00:00"/>
    <d v="2025-04-17T00:00:00"/>
    <d v="2025-04-22T00:00:00"/>
    <x v="0"/>
    <n v="32"/>
    <n v="741.88"/>
    <n v="23740.16"/>
    <n v="14"/>
    <n v="0"/>
  </r>
  <r>
    <s v="PO10014"/>
    <x v="2"/>
    <s v="Hydraulic Pump"/>
    <x v="4"/>
    <s v="Branch C"/>
    <x v="3"/>
    <d v="2025-04-13T00:00:00"/>
    <d v="2025-04-15T00:00:00"/>
    <d v="2025-04-20T00:00:00"/>
    <x v="1"/>
    <n v="158"/>
    <n v="285.67"/>
    <n v="45135.86"/>
    <n v="7"/>
    <n v="2"/>
  </r>
  <r>
    <s v="PO10015"/>
    <x v="0"/>
    <s v="Industrial Motor"/>
    <x v="1"/>
    <s v="Branch F"/>
    <x v="14"/>
    <d v="2025-02-03T00:00:00"/>
    <d v="2025-02-03T00:00:00"/>
    <d v="2025-02-08T00:00:00"/>
    <x v="2"/>
    <n v="129"/>
    <n v="696.38"/>
    <n v="89833.02"/>
    <n v="3"/>
    <n v="0"/>
  </r>
  <r>
    <s v="PO10016"/>
    <x v="5"/>
    <s v="Control Valve"/>
    <x v="3"/>
    <s v="Branch F"/>
    <x v="15"/>
    <d v="2025-03-13T00:00:00"/>
    <d v="2025-03-13T00:00:00"/>
    <d v="2025-03-16T00:00:00"/>
    <x v="3"/>
    <n v="143"/>
    <n v="645.65"/>
    <n v="92327.95"/>
    <n v="11"/>
    <n v="0"/>
  </r>
  <r>
    <s v="PO10017"/>
    <x v="1"/>
    <s v="Ball Bearings"/>
    <x v="0"/>
    <s v="Branch E"/>
    <x v="16"/>
    <d v="2025-04-02T00:00:00"/>
    <d v="2025-04-03T00:00:00"/>
    <d v="2025-04-08T00:00:00"/>
    <x v="1"/>
    <n v="68"/>
    <n v="202.62"/>
    <n v="13778.16"/>
    <n v="9"/>
    <n v="1"/>
  </r>
  <r>
    <s v="PO10018"/>
    <x v="2"/>
    <s v="Power Transmission Belt"/>
    <x v="2"/>
    <s v="Branch E"/>
    <x v="17"/>
    <d v="2025-02-11T00:00:00"/>
    <d v="2025-02-11T00:00:00"/>
    <d v="2025-02-12T00:00:00"/>
    <x v="0"/>
    <n v="20"/>
    <n v="206.17"/>
    <n v="4123.3999999999996"/>
    <n v="12"/>
    <n v="0"/>
  </r>
  <r>
    <s v="PO10019"/>
    <x v="6"/>
    <s v="Drive Unit"/>
    <x v="1"/>
    <s v="Branch D"/>
    <x v="14"/>
    <d v="2025-02-07T00:00:00"/>
    <d v="2025-02-10T00:00:00"/>
    <d v="2025-02-14T00:00:00"/>
    <x v="1"/>
    <n v="38"/>
    <n v="619"/>
    <n v="23522"/>
    <n v="10"/>
    <n v="3"/>
  </r>
  <r>
    <s v="PO10020"/>
    <x v="7"/>
    <s v="Ball Bearings"/>
    <x v="2"/>
    <s v="Branch A"/>
    <x v="18"/>
    <d v="2025-04-23T00:00:00"/>
    <d v="2025-04-23T00:00:00"/>
    <d v="2025-04-24T00:00:00"/>
    <x v="0"/>
    <n v="95"/>
    <n v="368.69"/>
    <n v="35025.550000000003"/>
    <n v="9"/>
    <n v="0"/>
  </r>
  <r>
    <s v="PO10021"/>
    <x v="3"/>
    <s v="Industrial Motor"/>
    <x v="4"/>
    <s v="Branch D"/>
    <x v="19"/>
    <d v="2025-03-07T00:00:00"/>
    <d v="2025-03-07T00:00:00"/>
    <d v="2025-03-08T00:00:00"/>
    <x v="2"/>
    <n v="142"/>
    <n v="389.59"/>
    <n v="55321.78"/>
    <n v="14"/>
    <n v="0"/>
  </r>
  <r>
    <s v="PO10022"/>
    <x v="2"/>
    <s v="Hydraulic Pump"/>
    <x v="1"/>
    <s v="Branch B"/>
    <x v="7"/>
    <d v="2025-02-05T00:00:00"/>
    <d v="2025-02-06T00:00:00"/>
    <d v="2025-02-11T00:00:00"/>
    <x v="2"/>
    <n v="171"/>
    <n v="849.4"/>
    <n v="145247.4"/>
    <n v="5"/>
    <n v="1"/>
  </r>
  <r>
    <s v="PO10023"/>
    <x v="2"/>
    <s v="Automation Sensor"/>
    <x v="4"/>
    <s v="Branch D"/>
    <x v="20"/>
    <d v="2025-03-04T00:00:00"/>
    <d v="2025-03-05T00:00:00"/>
    <d v="2025-03-07T00:00:00"/>
    <x v="1"/>
    <n v="20"/>
    <n v="152.47"/>
    <n v="3049.4"/>
    <n v="11"/>
    <n v="1"/>
  </r>
  <r>
    <s v="PO10024"/>
    <x v="8"/>
    <s v="Gearbox Assembly"/>
    <x v="2"/>
    <s v="Branch E"/>
    <x v="21"/>
    <d v="2025-02-15T00:00:00"/>
    <d v="2025-02-18T00:00:00"/>
    <d v="2025-02-23T00:00:00"/>
    <x v="1"/>
    <n v="129"/>
    <n v="144.26"/>
    <n v="18609.54"/>
    <n v="12"/>
    <n v="3"/>
  </r>
  <r>
    <s v="PO10025"/>
    <x v="0"/>
    <s v="Industrial Motor"/>
    <x v="2"/>
    <s v="Branch E"/>
    <x v="22"/>
    <d v="2025-04-16T00:00:00"/>
    <d v="2025-04-16T00:00:00"/>
    <d v="2025-04-19T00:00:00"/>
    <x v="2"/>
    <n v="127"/>
    <n v="434.88"/>
    <n v="55229.760000000002"/>
    <n v="11"/>
    <n v="0"/>
  </r>
  <r>
    <s v="PO10026"/>
    <x v="6"/>
    <s v="Gearbox Assembly"/>
    <x v="0"/>
    <s v="Branch E"/>
    <x v="23"/>
    <d v="2025-01-16T00:00:00"/>
    <d v="2025-01-16T00:00:00"/>
    <d v="2025-01-21T00:00:00"/>
    <x v="0"/>
    <n v="65"/>
    <n v="352.15"/>
    <n v="22889.75"/>
    <n v="5"/>
    <n v="0"/>
  </r>
  <r>
    <s v="PO10027"/>
    <x v="1"/>
    <s v="Gearbox Assembly"/>
    <x v="4"/>
    <s v="Branch D"/>
    <x v="24"/>
    <d v="2025-01-18T00:00:00"/>
    <d v="2025-01-18T00:00:00"/>
    <d v="2025-01-22T00:00:00"/>
    <x v="3"/>
    <n v="57"/>
    <n v="574.22"/>
    <n v="32730.54"/>
    <n v="12"/>
    <n v="0"/>
  </r>
  <r>
    <s v="PO10028"/>
    <x v="2"/>
    <s v="Drive Unit"/>
    <x v="0"/>
    <s v="Branch E"/>
    <x v="25"/>
    <d v="2025-01-30T00:00:00"/>
    <d v="2025-02-02T00:00:00"/>
    <d v="2025-02-05T00:00:00"/>
    <x v="1"/>
    <n v="197"/>
    <n v="796.34"/>
    <n v="156878.98000000001"/>
    <n v="16"/>
    <n v="3"/>
  </r>
  <r>
    <s v="PO10029"/>
    <x v="4"/>
    <s v="Gearbox Assembly"/>
    <x v="4"/>
    <s v="Branch C"/>
    <x v="26"/>
    <d v="2025-01-17T00:00:00"/>
    <d v="2025-01-19T00:00:00"/>
    <d v="2025-01-21T00:00:00"/>
    <x v="1"/>
    <n v="38"/>
    <n v="794.27"/>
    <n v="30182.26"/>
    <n v="6"/>
    <n v="2"/>
  </r>
  <r>
    <s v="PO10030"/>
    <x v="0"/>
    <s v="Ball Bearings"/>
    <x v="0"/>
    <s v="Branch C"/>
    <x v="27"/>
    <d v="2025-01-31T00:00:00"/>
    <d v="2025-02-05T00:00:00"/>
    <d v="2025-02-10T00:00:00"/>
    <x v="1"/>
    <n v="161"/>
    <n v="836.52"/>
    <n v="134679.72"/>
    <n v="15"/>
    <n v="5"/>
  </r>
  <r>
    <s v="PO10031"/>
    <x v="9"/>
    <s v="Control Valve"/>
    <x v="4"/>
    <s v="Branch E"/>
    <x v="28"/>
    <d v="2025-05-13T00:00:00"/>
    <d v="2025-05-13T00:00:00"/>
    <d v="2025-05-15T00:00:00"/>
    <x v="2"/>
    <n v="32"/>
    <n v="634.91999999999996"/>
    <n v="20317.439999999999"/>
    <n v="13"/>
    <n v="0"/>
  </r>
  <r>
    <s v="PO10032"/>
    <x v="2"/>
    <s v="Hydraulic Pump"/>
    <x v="3"/>
    <s v="Branch C"/>
    <x v="29"/>
    <d v="2025-02-10T00:00:00"/>
    <d v="2025-02-10T00:00:00"/>
    <d v="2025-02-12T00:00:00"/>
    <x v="3"/>
    <n v="69"/>
    <n v="770.96"/>
    <n v="53196.24"/>
    <n v="14"/>
    <n v="0"/>
  </r>
  <r>
    <s v="PO10033"/>
    <x v="3"/>
    <s v="Ball Bearings"/>
    <x v="2"/>
    <s v="Branch A"/>
    <x v="24"/>
    <d v="2025-01-09T00:00:00"/>
    <d v="2025-01-09T00:00:00"/>
    <d v="2025-01-11T00:00:00"/>
    <x v="2"/>
    <n v="118"/>
    <n v="475.65"/>
    <n v="56126.7"/>
    <n v="3"/>
    <n v="0"/>
  </r>
  <r>
    <s v="PO10034"/>
    <x v="3"/>
    <s v="Industrial Motor"/>
    <x v="2"/>
    <s v="Branch C"/>
    <x v="30"/>
    <d v="2025-05-15T00:00:00"/>
    <d v="2025-05-15T00:00:00"/>
    <d v="2025-05-20T00:00:00"/>
    <x v="0"/>
    <n v="154"/>
    <n v="476.36"/>
    <n v="73359.44"/>
    <n v="14"/>
    <n v="0"/>
  </r>
  <r>
    <s v="PO10035"/>
    <x v="4"/>
    <s v="Power Transmission Belt"/>
    <x v="0"/>
    <s v="Branch D"/>
    <x v="31"/>
    <d v="2025-03-03T00:00:00"/>
    <d v="2025-03-08T00:00:00"/>
    <d v="2025-03-09T00:00:00"/>
    <x v="1"/>
    <n v="58"/>
    <n v="584.53"/>
    <n v="33902.74"/>
    <n v="20"/>
    <n v="5"/>
  </r>
  <r>
    <s v="PO10036"/>
    <x v="2"/>
    <s v="Industrial Motor"/>
    <x v="4"/>
    <s v="Branch D"/>
    <x v="32"/>
    <d v="2025-04-04T00:00:00"/>
    <d v="2025-04-04T00:00:00"/>
    <d v="2025-04-06T00:00:00"/>
    <x v="0"/>
    <n v="50"/>
    <n v="750.98"/>
    <n v="37549"/>
    <n v="14"/>
    <n v="0"/>
  </r>
  <r>
    <s v="PO10037"/>
    <x v="2"/>
    <s v="Drive Unit"/>
    <x v="1"/>
    <s v="Branch B"/>
    <x v="33"/>
    <d v="2025-04-26T00:00:00"/>
    <d v="2025-05-01T00:00:00"/>
    <d v="2025-05-03T00:00:00"/>
    <x v="1"/>
    <n v="184"/>
    <n v="105.26"/>
    <n v="19367.84"/>
    <n v="18"/>
    <n v="5"/>
  </r>
  <r>
    <s v="PO10038"/>
    <x v="1"/>
    <s v="Control Valve"/>
    <x v="2"/>
    <s v="Branch C"/>
    <x v="34"/>
    <d v="2025-04-25T00:00:00"/>
    <d v="2025-04-25T00:00:00"/>
    <d v="2025-04-28T00:00:00"/>
    <x v="0"/>
    <n v="173"/>
    <n v="176.26"/>
    <n v="30492.98"/>
    <n v="10"/>
    <n v="0"/>
  </r>
  <r>
    <s v="PO10039"/>
    <x v="2"/>
    <s v="Hydraulic Pump"/>
    <x v="4"/>
    <s v="Branch B"/>
    <x v="35"/>
    <d v="2025-02-27T00:00:00"/>
    <d v="2025-03-01T00:00:00"/>
    <d v="2025-03-05T00:00:00"/>
    <x v="1"/>
    <n v="142"/>
    <n v="291.51"/>
    <n v="41394.42"/>
    <n v="15"/>
    <n v="2"/>
  </r>
  <r>
    <s v="PO10040"/>
    <x v="0"/>
    <s v="Hydraulic Pump"/>
    <x v="3"/>
    <s v="Branch E"/>
    <x v="36"/>
    <d v="2025-03-23T00:00:00"/>
    <d v="2025-03-23T00:00:00"/>
    <d v="2025-03-24T00:00:00"/>
    <x v="3"/>
    <n v="85"/>
    <n v="379.39"/>
    <n v="32248.15"/>
    <n v="7"/>
    <n v="0"/>
  </r>
  <r>
    <s v="PO10041"/>
    <x v="5"/>
    <s v="Power Transmission Belt"/>
    <x v="3"/>
    <s v="Branch A"/>
    <x v="37"/>
    <d v="2025-02-01T00:00:00"/>
    <d v="2025-02-01T00:00:00"/>
    <d v="2025-02-05T00:00:00"/>
    <x v="0"/>
    <n v="142"/>
    <n v="588.53"/>
    <n v="83571.259999999995"/>
    <n v="7"/>
    <n v="0"/>
  </r>
  <r>
    <s v="PO10042"/>
    <x v="8"/>
    <s v="Control Valve"/>
    <x v="3"/>
    <s v="Branch C"/>
    <x v="38"/>
    <d v="2025-04-04T00:00:00"/>
    <d v="2025-04-06T00:00:00"/>
    <d v="2025-04-09T00:00:00"/>
    <x v="1"/>
    <n v="36"/>
    <n v="615.99"/>
    <n v="22175.64"/>
    <n v="10"/>
    <n v="2"/>
  </r>
  <r>
    <s v="PO10043"/>
    <x v="9"/>
    <s v="Control Valve"/>
    <x v="3"/>
    <s v="Branch E"/>
    <x v="19"/>
    <d v="2025-03-07T00:00:00"/>
    <d v="2025-03-07T00:00:00"/>
    <d v="2025-03-12T00:00:00"/>
    <x v="2"/>
    <n v="175"/>
    <n v="800.2"/>
    <n v="140035"/>
    <n v="14"/>
    <n v="0"/>
  </r>
  <r>
    <s v="PO10044"/>
    <x v="1"/>
    <s v="Drive Unit"/>
    <x v="3"/>
    <s v="Branch D"/>
    <x v="6"/>
    <d v="2025-04-20T00:00:00"/>
    <d v="2025-04-20T00:00:00"/>
    <d v="2025-04-23T00:00:00"/>
    <x v="0"/>
    <n v="153"/>
    <n v="521.55999999999995"/>
    <n v="79798.679999999993"/>
    <n v="3"/>
    <n v="0"/>
  </r>
  <r>
    <s v="PO10045"/>
    <x v="4"/>
    <s v="Control Valve"/>
    <x v="0"/>
    <s v="Branch F"/>
    <x v="39"/>
    <d v="2025-04-03T00:00:00"/>
    <d v="2025-04-05T00:00:00"/>
    <d v="2025-04-09T00:00:00"/>
    <x v="1"/>
    <n v="193"/>
    <n v="156.69"/>
    <n v="30241.17"/>
    <n v="8"/>
    <n v="2"/>
  </r>
  <r>
    <s v="PO10046"/>
    <x v="9"/>
    <s v="Ball Bearings"/>
    <x v="2"/>
    <s v="Branch B"/>
    <x v="0"/>
    <d v="2025-04-04T00:00:00"/>
    <d v="2025-04-04T00:00:00"/>
    <d v="2025-04-05T00:00:00"/>
    <x v="0"/>
    <n v="62"/>
    <n v="688.48"/>
    <n v="42685.760000000002"/>
    <n v="12"/>
    <n v="0"/>
  </r>
  <r>
    <s v="PO10047"/>
    <x v="3"/>
    <s v="Drive Unit"/>
    <x v="3"/>
    <s v="Branch B"/>
    <x v="15"/>
    <d v="2025-03-14T00:00:00"/>
    <d v="2025-03-19T00:00:00"/>
    <d v="2025-03-20T00:00:00"/>
    <x v="1"/>
    <n v="166"/>
    <n v="495.69"/>
    <n v="82284.539999999994"/>
    <n v="17"/>
    <n v="5"/>
  </r>
  <r>
    <s v="PO10048"/>
    <x v="5"/>
    <s v="Industrial Motor"/>
    <x v="0"/>
    <s v="Branch D"/>
    <x v="40"/>
    <d v="2025-02-01T00:00:00"/>
    <d v="2025-02-04T00:00:00"/>
    <d v="2025-02-05T00:00:00"/>
    <x v="1"/>
    <n v="32"/>
    <n v="664.98"/>
    <n v="21279.360000000001"/>
    <n v="16"/>
    <n v="3"/>
  </r>
  <r>
    <s v="PO10049"/>
    <x v="0"/>
    <s v="Power Transmission Belt"/>
    <x v="3"/>
    <s v="Branch E"/>
    <x v="41"/>
    <d v="2025-01-18T00:00:00"/>
    <d v="2025-01-18T00:00:00"/>
    <d v="2025-01-19T00:00:00"/>
    <x v="2"/>
    <n v="123"/>
    <n v="572.42999999999995"/>
    <n v="70408.89"/>
    <n v="11"/>
    <n v="0"/>
  </r>
  <r>
    <s v="PO10050"/>
    <x v="9"/>
    <s v="Drive Unit"/>
    <x v="3"/>
    <s v="Branch C"/>
    <x v="34"/>
    <d v="2025-04-29T00:00:00"/>
    <d v="2025-05-01T00:00:00"/>
    <d v="2025-05-05T00:00:00"/>
    <x v="1"/>
    <n v="145"/>
    <n v="387.34"/>
    <n v="56164.3"/>
    <n v="16"/>
    <n v="2"/>
  </r>
  <r>
    <s v="PO10051"/>
    <x v="5"/>
    <s v="Control Valve"/>
    <x v="3"/>
    <s v="Branch A"/>
    <x v="42"/>
    <d v="2025-04-13T00:00:00"/>
    <d v="2025-04-18T00:00:00"/>
    <d v="2025-04-21T00:00:00"/>
    <x v="1"/>
    <n v="138"/>
    <n v="419.64"/>
    <n v="57910.32"/>
    <n v="11"/>
    <n v="5"/>
  </r>
  <r>
    <s v="PO10052"/>
    <x v="9"/>
    <s v="Gearbox Assembly"/>
    <x v="3"/>
    <s v="Branch F"/>
    <x v="43"/>
    <d v="2025-04-09T00:00:00"/>
    <d v="2025-04-09T00:00:00"/>
    <d v="2025-04-12T00:00:00"/>
    <x v="3"/>
    <n v="143"/>
    <n v="82.28"/>
    <n v="11766.04"/>
    <n v="7"/>
    <n v="0"/>
  </r>
  <r>
    <s v="PO10053"/>
    <x v="2"/>
    <s v="Gearbox Assembly"/>
    <x v="3"/>
    <s v="Branch D"/>
    <x v="44"/>
    <d v="2025-02-03T00:00:00"/>
    <d v="2025-02-03T00:00:00"/>
    <d v="2025-02-04T00:00:00"/>
    <x v="3"/>
    <n v="143"/>
    <n v="404.05"/>
    <n v="57779.15"/>
    <n v="14"/>
    <n v="0"/>
  </r>
  <r>
    <s v="PO10054"/>
    <x v="7"/>
    <s v="Ball Bearings"/>
    <x v="4"/>
    <s v="Branch C"/>
    <x v="45"/>
    <d v="2025-05-11T00:00:00"/>
    <d v="2025-05-13T00:00:00"/>
    <d v="2025-05-14T00:00:00"/>
    <x v="1"/>
    <n v="200"/>
    <n v="495.7"/>
    <n v="99140"/>
    <n v="17"/>
    <n v="2"/>
  </r>
  <r>
    <s v="PO10055"/>
    <x v="6"/>
    <s v="Gearbox Assembly"/>
    <x v="3"/>
    <s v="Branch B"/>
    <x v="42"/>
    <d v="2025-04-16T00:00:00"/>
    <d v="2025-04-21T00:00:00"/>
    <d v="2025-04-25T00:00:00"/>
    <x v="1"/>
    <n v="193"/>
    <n v="471.02"/>
    <n v="90906.86"/>
    <n v="14"/>
    <n v="5"/>
  </r>
  <r>
    <s v="PO10056"/>
    <x v="3"/>
    <s v="Industrial Motor"/>
    <x v="3"/>
    <s v="Branch B"/>
    <x v="46"/>
    <d v="2025-02-13T00:00:00"/>
    <d v="2025-02-14T00:00:00"/>
    <d v="2025-02-15T00:00:00"/>
    <x v="1"/>
    <n v="176"/>
    <n v="582.08000000000004"/>
    <n v="102446.08"/>
    <n v="10"/>
    <n v="1"/>
  </r>
  <r>
    <s v="PO10057"/>
    <x v="7"/>
    <s v="Industrial Motor"/>
    <x v="2"/>
    <s v="Branch C"/>
    <x v="32"/>
    <d v="2025-04-01T00:00:00"/>
    <d v="2025-04-01T00:00:00"/>
    <d v="2025-04-05T00:00:00"/>
    <x v="2"/>
    <n v="114"/>
    <n v="128.31"/>
    <n v="14627.34"/>
    <n v="11"/>
    <n v="0"/>
  </r>
  <r>
    <s v="PO10058"/>
    <x v="3"/>
    <s v="Control Valve"/>
    <x v="2"/>
    <s v="Branch D"/>
    <x v="47"/>
    <d v="2025-02-26T00:00:00"/>
    <d v="2025-02-26T00:00:00"/>
    <d v="2025-03-02T00:00:00"/>
    <x v="3"/>
    <n v="102"/>
    <n v="247.34"/>
    <n v="25228.68"/>
    <n v="8"/>
    <n v="0"/>
  </r>
  <r>
    <s v="PO10059"/>
    <x v="4"/>
    <s v="Ball Bearings"/>
    <x v="2"/>
    <s v="Branch B"/>
    <x v="48"/>
    <d v="2025-01-17T00:00:00"/>
    <d v="2025-01-19T00:00:00"/>
    <d v="2025-01-20T00:00:00"/>
    <x v="1"/>
    <n v="94"/>
    <n v="202.23"/>
    <n v="19009.62"/>
    <n v="16"/>
    <n v="2"/>
  </r>
  <r>
    <s v="PO10060"/>
    <x v="6"/>
    <s v="Gearbox Assembly"/>
    <x v="3"/>
    <s v="Branch F"/>
    <x v="49"/>
    <d v="2025-01-29T00:00:00"/>
    <d v="2025-01-31T00:00:00"/>
    <d v="2025-02-02T00:00:00"/>
    <x v="1"/>
    <n v="126"/>
    <n v="574"/>
    <n v="72324"/>
    <n v="5"/>
    <n v="2"/>
  </r>
  <r>
    <s v="PO10061"/>
    <x v="4"/>
    <s v="Ball Bearings"/>
    <x v="4"/>
    <s v="Branch E"/>
    <x v="50"/>
    <d v="2025-02-17T00:00:00"/>
    <d v="2025-02-17T00:00:00"/>
    <d v="2025-02-19T00:00:00"/>
    <x v="0"/>
    <n v="46"/>
    <n v="820.54"/>
    <n v="37744.839999999997"/>
    <n v="15"/>
    <n v="0"/>
  </r>
  <r>
    <s v="PO10062"/>
    <x v="5"/>
    <s v="Hydraulic Pump"/>
    <x v="4"/>
    <s v="Branch F"/>
    <x v="39"/>
    <d v="2025-04-06T00:00:00"/>
    <d v="2025-04-07T00:00:00"/>
    <d v="2025-04-09T00:00:00"/>
    <x v="2"/>
    <n v="181"/>
    <n v="708.53"/>
    <n v="128243.93"/>
    <n v="10"/>
    <n v="1"/>
  </r>
  <r>
    <s v="PO10063"/>
    <x v="4"/>
    <s v="Power Transmission Belt"/>
    <x v="2"/>
    <s v="Branch D"/>
    <x v="51"/>
    <d v="2025-04-02T00:00:00"/>
    <d v="2025-04-02T00:00:00"/>
    <d v="2025-04-07T00:00:00"/>
    <x v="0"/>
    <n v="114"/>
    <n v="567.37"/>
    <n v="64680.18"/>
    <n v="15"/>
    <n v="0"/>
  </r>
  <r>
    <s v="PO10064"/>
    <x v="3"/>
    <s v="Industrial Motor"/>
    <x v="0"/>
    <s v="Branch F"/>
    <x v="8"/>
    <d v="2025-04-26T00:00:00"/>
    <d v="2025-04-26T00:00:00"/>
    <d v="2025-04-30T00:00:00"/>
    <x v="3"/>
    <n v="122"/>
    <n v="605.6"/>
    <n v="73883.199999999997"/>
    <n v="10"/>
    <n v="0"/>
  </r>
  <r>
    <s v="PO10065"/>
    <x v="6"/>
    <s v="Control Valve"/>
    <x v="4"/>
    <s v="Branch B"/>
    <x v="46"/>
    <d v="2025-02-16T00:00:00"/>
    <d v="2025-02-21T00:00:00"/>
    <d v="2025-02-26T00:00:00"/>
    <x v="1"/>
    <n v="124"/>
    <n v="378.7"/>
    <n v="46958.8"/>
    <n v="17"/>
    <n v="5"/>
  </r>
  <r>
    <s v="PO10066"/>
    <x v="3"/>
    <s v="Power Transmission Belt"/>
    <x v="2"/>
    <s v="Branch D"/>
    <x v="6"/>
    <d v="2025-04-21T00:00:00"/>
    <d v="2025-04-21T00:00:00"/>
    <d v="2025-04-25T00:00:00"/>
    <x v="0"/>
    <n v="150"/>
    <n v="524.63"/>
    <n v="78694.5"/>
    <n v="4"/>
    <n v="0"/>
  </r>
  <r>
    <s v="PO10067"/>
    <x v="6"/>
    <s v="Control Valve"/>
    <x v="0"/>
    <s v="Branch A"/>
    <x v="52"/>
    <d v="2025-04-27T00:00:00"/>
    <d v="2025-04-27T00:00:00"/>
    <d v="2025-05-01T00:00:00"/>
    <x v="0"/>
    <n v="71"/>
    <n v="299.18"/>
    <n v="21241.78"/>
    <n v="8"/>
    <n v="0"/>
  </r>
  <r>
    <s v="PO10068"/>
    <x v="7"/>
    <s v="Drive Unit"/>
    <x v="3"/>
    <s v="Branch A"/>
    <x v="53"/>
    <d v="2025-03-14T00:00:00"/>
    <d v="2025-03-14T00:00:00"/>
    <d v="2025-03-16T00:00:00"/>
    <x v="3"/>
    <n v="199"/>
    <n v="215.67"/>
    <n v="42918.33"/>
    <n v="6"/>
    <n v="0"/>
  </r>
  <r>
    <s v="PO10069"/>
    <x v="0"/>
    <s v="Power Transmission Belt"/>
    <x v="3"/>
    <s v="Branch F"/>
    <x v="54"/>
    <d v="2025-01-19T00:00:00"/>
    <d v="2025-01-19T00:00:00"/>
    <d v="2025-01-23T00:00:00"/>
    <x v="0"/>
    <n v="153"/>
    <n v="323.13"/>
    <n v="49438.89"/>
    <n v="7"/>
    <n v="0"/>
  </r>
  <r>
    <s v="PO10070"/>
    <x v="5"/>
    <s v="Power Transmission Belt"/>
    <x v="2"/>
    <s v="Branch F"/>
    <x v="55"/>
    <d v="2025-03-20T00:00:00"/>
    <d v="2025-03-20T00:00:00"/>
    <d v="2025-03-24T00:00:00"/>
    <x v="3"/>
    <n v="64"/>
    <n v="115.75"/>
    <n v="7408"/>
    <n v="8"/>
    <n v="0"/>
  </r>
  <r>
    <s v="PO10071"/>
    <x v="6"/>
    <s v="Control Valve"/>
    <x v="2"/>
    <s v="Branch B"/>
    <x v="56"/>
    <d v="2025-03-25T00:00:00"/>
    <d v="2025-03-28T00:00:00"/>
    <d v="2025-03-30T00:00:00"/>
    <x v="2"/>
    <n v="194"/>
    <n v="419.31"/>
    <n v="81346.14"/>
    <n v="18"/>
    <n v="3"/>
  </r>
  <r>
    <s v="PO10072"/>
    <x v="2"/>
    <s v="Ball Bearings"/>
    <x v="0"/>
    <s v="Branch C"/>
    <x v="57"/>
    <d v="2025-02-13T00:00:00"/>
    <d v="2025-02-13T00:00:00"/>
    <d v="2025-02-15T00:00:00"/>
    <x v="2"/>
    <n v="141"/>
    <n v="120.7"/>
    <n v="17018.7"/>
    <n v="6"/>
    <n v="0"/>
  </r>
  <r>
    <s v="PO10073"/>
    <x v="7"/>
    <s v="Drive Unit"/>
    <x v="3"/>
    <s v="Branch C"/>
    <x v="58"/>
    <d v="2025-04-05T00:00:00"/>
    <d v="2025-04-08T00:00:00"/>
    <d v="2025-04-12T00:00:00"/>
    <x v="2"/>
    <n v="8"/>
    <n v="494.34"/>
    <n v="3954.72"/>
    <n v="8"/>
    <n v="3"/>
  </r>
  <r>
    <s v="PO10074"/>
    <x v="6"/>
    <s v="Ball Bearings"/>
    <x v="1"/>
    <s v="Branch B"/>
    <x v="59"/>
    <d v="2025-01-27T00:00:00"/>
    <d v="2025-01-27T00:00:00"/>
    <d v="2025-01-31T00:00:00"/>
    <x v="0"/>
    <n v="107"/>
    <n v="425.61"/>
    <n v="45540.27"/>
    <n v="3"/>
    <n v="0"/>
  </r>
  <r>
    <s v="PO10075"/>
    <x v="6"/>
    <s v="Gearbox Assembly"/>
    <x v="0"/>
    <s v="Branch D"/>
    <x v="18"/>
    <d v="2025-04-26T00:00:00"/>
    <d v="2025-04-26T00:00:00"/>
    <d v="2025-04-27T00:00:00"/>
    <x v="2"/>
    <n v="200"/>
    <n v="362.51"/>
    <n v="72502"/>
    <n v="12"/>
    <n v="0"/>
  </r>
  <r>
    <s v="PO10076"/>
    <x v="4"/>
    <s v="Gearbox Assembly"/>
    <x v="1"/>
    <s v="Branch C"/>
    <x v="60"/>
    <d v="2025-03-09T00:00:00"/>
    <d v="2025-03-09T00:00:00"/>
    <d v="2025-03-14T00:00:00"/>
    <x v="3"/>
    <n v="163"/>
    <n v="65.290000000000006"/>
    <n v="10642.27"/>
    <n v="10"/>
    <n v="0"/>
  </r>
  <r>
    <s v="PO10077"/>
    <x v="7"/>
    <s v="Drive Unit"/>
    <x v="4"/>
    <s v="Branch A"/>
    <x v="5"/>
    <d v="2025-03-30T00:00:00"/>
    <d v="2025-03-30T00:00:00"/>
    <d v="2025-04-01T00:00:00"/>
    <x v="0"/>
    <n v="45"/>
    <n v="17.23"/>
    <n v="775.35"/>
    <n v="4"/>
    <n v="0"/>
  </r>
  <r>
    <s v="PO10078"/>
    <x v="5"/>
    <s v="Control Valve"/>
    <x v="0"/>
    <s v="Branch F"/>
    <x v="17"/>
    <d v="2025-02-06T00:00:00"/>
    <d v="2025-02-09T00:00:00"/>
    <d v="2025-02-12T00:00:00"/>
    <x v="1"/>
    <n v="121"/>
    <n v="74.44"/>
    <n v="9007.24"/>
    <n v="10"/>
    <n v="3"/>
  </r>
  <r>
    <s v="PO10079"/>
    <x v="8"/>
    <s v="Industrial Motor"/>
    <x v="2"/>
    <s v="Branch A"/>
    <x v="33"/>
    <d v="2025-04-19T00:00:00"/>
    <d v="2025-04-20T00:00:00"/>
    <d v="2025-04-21T00:00:00"/>
    <x v="1"/>
    <n v="170"/>
    <n v="139.41"/>
    <n v="23699.7"/>
    <n v="7"/>
    <n v="1"/>
  </r>
  <r>
    <s v="PO10080"/>
    <x v="3"/>
    <s v="Control Valve"/>
    <x v="0"/>
    <s v="Branch E"/>
    <x v="61"/>
    <d v="2025-02-06T00:00:00"/>
    <d v="2025-02-06T00:00:00"/>
    <d v="2025-02-11T00:00:00"/>
    <x v="3"/>
    <n v="124"/>
    <n v="590.04999999999995"/>
    <n v="73166.2"/>
    <n v="15"/>
    <n v="0"/>
  </r>
  <r>
    <s v="PO10081"/>
    <x v="8"/>
    <s v="Ball Bearings"/>
    <x v="2"/>
    <s v="Branch B"/>
    <x v="9"/>
    <d v="2025-03-15T00:00:00"/>
    <d v="2025-03-15T00:00:00"/>
    <d v="2025-03-20T00:00:00"/>
    <x v="0"/>
    <n v="193"/>
    <n v="284.14"/>
    <n v="54839.02"/>
    <n v="10"/>
    <n v="0"/>
  </r>
  <r>
    <s v="PO10082"/>
    <x v="6"/>
    <s v="Ball Bearings"/>
    <x v="1"/>
    <s v="Branch D"/>
    <x v="39"/>
    <d v="2025-04-09T00:00:00"/>
    <d v="2025-04-11T00:00:00"/>
    <d v="2025-04-12T00:00:00"/>
    <x v="1"/>
    <n v="177"/>
    <n v="700.89"/>
    <n v="124057.53"/>
    <n v="14"/>
    <n v="2"/>
  </r>
  <r>
    <s v="PO10083"/>
    <x v="7"/>
    <s v="Hydraulic Pump"/>
    <x v="3"/>
    <s v="Branch C"/>
    <x v="53"/>
    <d v="2025-03-21T00:00:00"/>
    <d v="2025-03-22T00:00:00"/>
    <d v="2025-03-25T00:00:00"/>
    <x v="2"/>
    <n v="154"/>
    <n v="378.96"/>
    <n v="58359.839999999997"/>
    <n v="14"/>
    <n v="1"/>
  </r>
  <r>
    <s v="PO10084"/>
    <x v="3"/>
    <s v="Ball Bearings"/>
    <x v="3"/>
    <s v="Branch A"/>
    <x v="20"/>
    <d v="2025-03-02T00:00:00"/>
    <d v="2025-03-02T00:00:00"/>
    <d v="2025-03-03T00:00:00"/>
    <x v="0"/>
    <n v="182"/>
    <n v="428.72"/>
    <n v="78027.039999999994"/>
    <n v="8"/>
    <n v="0"/>
  </r>
  <r>
    <s v="PO10085"/>
    <x v="0"/>
    <s v="Drive Unit"/>
    <x v="3"/>
    <s v="Branch A"/>
    <x v="62"/>
    <d v="2025-02-17T00:00:00"/>
    <d v="2025-02-17T00:00:00"/>
    <d v="2025-02-18T00:00:00"/>
    <x v="3"/>
    <n v="5"/>
    <n v="564.15"/>
    <n v="2820.75"/>
    <n v="7"/>
    <n v="0"/>
  </r>
  <r>
    <s v="PO10086"/>
    <x v="8"/>
    <s v="Industrial Motor"/>
    <x v="4"/>
    <s v="Branch D"/>
    <x v="37"/>
    <d v="2025-02-05T00:00:00"/>
    <d v="2025-02-05T00:00:00"/>
    <d v="2025-02-10T00:00:00"/>
    <x v="3"/>
    <n v="199"/>
    <n v="58.1"/>
    <n v="11561.9"/>
    <n v="11"/>
    <n v="0"/>
  </r>
  <r>
    <s v="PO10087"/>
    <x v="5"/>
    <s v="Industrial Motor"/>
    <x v="4"/>
    <s v="Branch E"/>
    <x v="63"/>
    <d v="2025-05-07T00:00:00"/>
    <d v="2025-05-08T00:00:00"/>
    <d v="2025-05-09T00:00:00"/>
    <x v="2"/>
    <n v="166"/>
    <n v="523.41"/>
    <n v="86886.06"/>
    <n v="15"/>
    <n v="1"/>
  </r>
  <r>
    <s v="PO10088"/>
    <x v="4"/>
    <s v="Industrial Motor"/>
    <x v="3"/>
    <s v="Branch F"/>
    <x v="64"/>
    <d v="2025-01-13T00:00:00"/>
    <d v="2025-01-14T00:00:00"/>
    <d v="2025-01-15T00:00:00"/>
    <x v="1"/>
    <n v="34"/>
    <n v="400.31"/>
    <n v="13610.54"/>
    <n v="12"/>
    <n v="1"/>
  </r>
  <r>
    <s v="PO10089"/>
    <x v="5"/>
    <s v="Drive Unit"/>
    <x v="0"/>
    <s v="Branch B"/>
    <x v="57"/>
    <d v="2025-02-18T00:00:00"/>
    <d v="2025-02-21T00:00:00"/>
    <d v="2025-02-24T00:00:00"/>
    <x v="1"/>
    <n v="128"/>
    <n v="833.5"/>
    <n v="106688"/>
    <n v="14"/>
    <n v="3"/>
  </r>
  <r>
    <s v="PO10090"/>
    <x v="8"/>
    <s v="Automation Sensor"/>
    <x v="4"/>
    <s v="Branch E"/>
    <x v="65"/>
    <d v="2025-02-25T00:00:00"/>
    <d v="2025-02-27T00:00:00"/>
    <d v="2025-03-04T00:00:00"/>
    <x v="1"/>
    <n v="39"/>
    <n v="736.46"/>
    <n v="28721.94"/>
    <n v="8"/>
    <n v="2"/>
  </r>
  <r>
    <s v="PO10091"/>
    <x v="1"/>
    <s v="Power Transmission Belt"/>
    <x v="0"/>
    <s v="Branch E"/>
    <x v="46"/>
    <d v="2025-02-07T00:00:00"/>
    <d v="2025-02-07T00:00:00"/>
    <d v="2025-02-10T00:00:00"/>
    <x v="3"/>
    <n v="119"/>
    <n v="464.71"/>
    <n v="55300.49"/>
    <n v="3"/>
    <n v="0"/>
  </r>
  <r>
    <s v="PO10092"/>
    <x v="3"/>
    <s v="Ball Bearings"/>
    <x v="4"/>
    <s v="Branch F"/>
    <x v="47"/>
    <d v="2025-02-28T00:00:00"/>
    <d v="2025-02-28T00:00:00"/>
    <d v="2025-03-02T00:00:00"/>
    <x v="0"/>
    <n v="64"/>
    <n v="729.77"/>
    <n v="46705.279999999999"/>
    <n v="10"/>
    <n v="0"/>
  </r>
  <r>
    <s v="PO10093"/>
    <x v="9"/>
    <s v="Drive Unit"/>
    <x v="2"/>
    <s v="Branch B"/>
    <x v="15"/>
    <d v="2025-03-16T00:00:00"/>
    <d v="2025-03-21T00:00:00"/>
    <d v="2025-03-25T00:00:00"/>
    <x v="1"/>
    <n v="174"/>
    <n v="676.65"/>
    <n v="117737.1"/>
    <n v="19"/>
    <n v="5"/>
  </r>
  <r>
    <s v="PO10094"/>
    <x v="9"/>
    <s v="Automation Sensor"/>
    <x v="1"/>
    <s v="Branch A"/>
    <x v="66"/>
    <d v="2025-03-18T00:00:00"/>
    <d v="2025-03-18T00:00:00"/>
    <d v="2025-03-19T00:00:00"/>
    <x v="2"/>
    <n v="121"/>
    <n v="27.82"/>
    <n v="3366.22"/>
    <n v="12"/>
    <n v="0"/>
  </r>
  <r>
    <s v="PO10095"/>
    <x v="0"/>
    <s v="Automation Sensor"/>
    <x v="4"/>
    <s v="Branch F"/>
    <x v="15"/>
    <d v="2025-03-17T00:00:00"/>
    <d v="2025-03-17T00:00:00"/>
    <d v="2025-03-20T00:00:00"/>
    <x v="3"/>
    <n v="89"/>
    <n v="726.71"/>
    <n v="64677.19"/>
    <n v="15"/>
    <n v="0"/>
  </r>
  <r>
    <s v="PO10096"/>
    <x v="8"/>
    <s v="Gearbox Assembly"/>
    <x v="2"/>
    <s v="Branch D"/>
    <x v="43"/>
    <d v="2025-04-17T00:00:00"/>
    <d v="2025-04-18T00:00:00"/>
    <d v="2025-04-23T00:00:00"/>
    <x v="2"/>
    <n v="22"/>
    <n v="211.03"/>
    <n v="4642.66"/>
    <n v="16"/>
    <n v="1"/>
  </r>
  <r>
    <s v="PO10097"/>
    <x v="2"/>
    <s v="Ball Bearings"/>
    <x v="4"/>
    <s v="Branch A"/>
    <x v="26"/>
    <d v="2025-01-28T00:00:00"/>
    <d v="2025-01-31T00:00:00"/>
    <d v="2025-02-01T00:00:00"/>
    <x v="1"/>
    <n v="182"/>
    <n v="265.05"/>
    <n v="48239.1"/>
    <n v="18"/>
    <n v="3"/>
  </r>
  <r>
    <s v="PO10098"/>
    <x v="9"/>
    <s v="Industrial Motor"/>
    <x v="1"/>
    <s v="Branch A"/>
    <x v="57"/>
    <d v="2025-02-15T00:00:00"/>
    <d v="2025-02-15T00:00:00"/>
    <d v="2025-02-19T00:00:00"/>
    <x v="0"/>
    <n v="110"/>
    <n v="487.55"/>
    <n v="53630.5"/>
    <n v="8"/>
    <n v="0"/>
  </r>
  <r>
    <s v="PO10099"/>
    <x v="7"/>
    <s v="Control Valve"/>
    <x v="3"/>
    <s v="Branch C"/>
    <x v="67"/>
    <d v="2025-03-29T00:00:00"/>
    <d v="2025-03-31T00:00:00"/>
    <d v="2025-04-02T00:00:00"/>
    <x v="1"/>
    <n v="154"/>
    <n v="134.5"/>
    <n v="20713"/>
    <n v="11"/>
    <n v="2"/>
  </r>
  <r>
    <s v="PO10100"/>
    <x v="4"/>
    <s v="Drive Unit"/>
    <x v="4"/>
    <s v="Branch E"/>
    <x v="38"/>
    <d v="2025-03-30T00:00:00"/>
    <d v="2025-04-04T00:00:00"/>
    <d v="2025-04-08T00:00:00"/>
    <x v="1"/>
    <n v="178"/>
    <n v="471.41"/>
    <n v="83910.98"/>
    <n v="8"/>
    <n v="5"/>
  </r>
  <r>
    <s v="PO10101"/>
    <x v="3"/>
    <s v="Drive Unit"/>
    <x v="2"/>
    <s v="Branch B"/>
    <x v="68"/>
    <d v="2025-02-21T00:00:00"/>
    <d v="2025-02-22T00:00:00"/>
    <d v="2025-02-25T00:00:00"/>
    <x v="1"/>
    <n v="82"/>
    <n v="181.35"/>
    <n v="14870.7"/>
    <n v="14"/>
    <n v="1"/>
  </r>
  <r>
    <s v="PO10102"/>
    <x v="3"/>
    <s v="Control Valve"/>
    <x v="2"/>
    <s v="Branch E"/>
    <x v="47"/>
    <d v="2025-03-02T00:00:00"/>
    <d v="2025-03-02T00:00:00"/>
    <d v="2025-03-07T00:00:00"/>
    <x v="3"/>
    <n v="80"/>
    <n v="33.32"/>
    <n v="2665.6"/>
    <n v="12"/>
    <n v="0"/>
  </r>
  <r>
    <s v="PO10103"/>
    <x v="8"/>
    <s v="Gearbox Assembly"/>
    <x v="0"/>
    <s v="Branch C"/>
    <x v="69"/>
    <d v="2025-05-04T00:00:00"/>
    <d v="2025-05-09T00:00:00"/>
    <d v="2025-05-10T00:00:00"/>
    <x v="1"/>
    <n v="195"/>
    <n v="429.77"/>
    <n v="83805.149999999994"/>
    <n v="18"/>
    <n v="5"/>
  </r>
  <r>
    <s v="PO10104"/>
    <x v="9"/>
    <s v="Hydraulic Pump"/>
    <x v="2"/>
    <s v="Branch C"/>
    <x v="70"/>
    <d v="2025-02-11T00:00:00"/>
    <d v="2025-02-11T00:00:00"/>
    <d v="2025-02-16T00:00:00"/>
    <x v="3"/>
    <n v="189"/>
    <n v="655.84"/>
    <n v="123953.76"/>
    <n v="13"/>
    <n v="0"/>
  </r>
  <r>
    <s v="PO10105"/>
    <x v="1"/>
    <s v="Automation Sensor"/>
    <x v="1"/>
    <s v="Branch B"/>
    <x v="71"/>
    <d v="2025-04-21T00:00:00"/>
    <d v="2025-04-21T00:00:00"/>
    <d v="2025-04-26T00:00:00"/>
    <x v="3"/>
    <n v="28"/>
    <n v="774.54"/>
    <n v="21687.119999999999"/>
    <n v="10"/>
    <n v="0"/>
  </r>
  <r>
    <s v="PO10106"/>
    <x v="8"/>
    <s v="Drive Unit"/>
    <x v="4"/>
    <s v="Branch F"/>
    <x v="25"/>
    <d v="2025-02-01T00:00:00"/>
    <d v="2025-02-03T00:00:00"/>
    <d v="2025-02-06T00:00:00"/>
    <x v="1"/>
    <n v="74"/>
    <n v="708.44"/>
    <n v="52424.56"/>
    <n v="17"/>
    <n v="2"/>
  </r>
  <r>
    <s v="PO10107"/>
    <x v="5"/>
    <s v="Automation Sensor"/>
    <x v="0"/>
    <s v="Branch C"/>
    <x v="72"/>
    <d v="2025-04-30T00:00:00"/>
    <d v="2025-05-05T00:00:00"/>
    <d v="2025-05-06T00:00:00"/>
    <x v="1"/>
    <n v="24"/>
    <n v="132.53"/>
    <n v="3180.72"/>
    <n v="13"/>
    <n v="5"/>
  </r>
  <r>
    <s v="PO10108"/>
    <x v="8"/>
    <s v="Automation Sensor"/>
    <x v="4"/>
    <s v="Branch A"/>
    <x v="54"/>
    <d v="2025-01-27T00:00:00"/>
    <d v="2025-01-28T00:00:00"/>
    <d v="2025-01-29T00:00:00"/>
    <x v="1"/>
    <n v="36"/>
    <n v="394.75"/>
    <n v="14211"/>
    <n v="16"/>
    <n v="1"/>
  </r>
  <r>
    <s v="PO10109"/>
    <x v="6"/>
    <s v="Gearbox Assembly"/>
    <x v="2"/>
    <s v="Branch F"/>
    <x v="39"/>
    <d v="2025-04-03T00:00:00"/>
    <d v="2025-04-04T00:00:00"/>
    <d v="2025-04-05T00:00:00"/>
    <x v="1"/>
    <n v="148"/>
    <n v="288.89"/>
    <n v="42755.72"/>
    <n v="7"/>
    <n v="1"/>
  </r>
  <r>
    <s v="PO10110"/>
    <x v="2"/>
    <s v="Control Valve"/>
    <x v="3"/>
    <s v="Branch A"/>
    <x v="8"/>
    <d v="2025-04-26T00:00:00"/>
    <d v="2025-04-29T00:00:00"/>
    <d v="2025-05-02T00:00:00"/>
    <x v="1"/>
    <n v="34"/>
    <n v="131.71"/>
    <n v="4478.1400000000003"/>
    <n v="13"/>
    <n v="3"/>
  </r>
  <r>
    <s v="PO10111"/>
    <x v="0"/>
    <s v="Automation Sensor"/>
    <x v="0"/>
    <s v="Branch F"/>
    <x v="26"/>
    <d v="2025-01-19T00:00:00"/>
    <d v="2025-01-21T00:00:00"/>
    <d v="2025-01-23T00:00:00"/>
    <x v="1"/>
    <n v="99"/>
    <n v="574.86"/>
    <n v="56911.14"/>
    <n v="8"/>
    <n v="2"/>
  </r>
  <r>
    <s v="PO10112"/>
    <x v="8"/>
    <s v="Ball Bearings"/>
    <x v="4"/>
    <s v="Branch B"/>
    <x v="73"/>
    <d v="2025-04-09T00:00:00"/>
    <d v="2025-04-10T00:00:00"/>
    <d v="2025-04-11T00:00:00"/>
    <x v="1"/>
    <n v="162"/>
    <n v="355.78"/>
    <n v="57636.36"/>
    <n v="6"/>
    <n v="1"/>
  </r>
  <r>
    <s v="PO10113"/>
    <x v="1"/>
    <s v="Ball Bearings"/>
    <x v="3"/>
    <s v="Branch C"/>
    <x v="74"/>
    <d v="2025-03-08T00:00:00"/>
    <d v="2025-03-08T00:00:00"/>
    <d v="2025-03-11T00:00:00"/>
    <x v="0"/>
    <n v="99"/>
    <n v="469.63"/>
    <n v="46493.37"/>
    <n v="10"/>
    <n v="0"/>
  </r>
  <r>
    <s v="PO10114"/>
    <x v="6"/>
    <s v="Ball Bearings"/>
    <x v="2"/>
    <s v="Branch C"/>
    <x v="37"/>
    <d v="2025-01-29T00:00:00"/>
    <d v="2025-02-03T00:00:00"/>
    <d v="2025-02-07T00:00:00"/>
    <x v="2"/>
    <n v="59"/>
    <n v="550.82000000000005"/>
    <n v="32498.38"/>
    <n v="9"/>
    <n v="5"/>
  </r>
  <r>
    <s v="PO10115"/>
    <x v="6"/>
    <s v="Gearbox Assembly"/>
    <x v="1"/>
    <s v="Branch C"/>
    <x v="7"/>
    <d v="2025-02-06T00:00:00"/>
    <d v="2025-02-11T00:00:00"/>
    <d v="2025-02-16T00:00:00"/>
    <x v="1"/>
    <n v="200"/>
    <n v="477.76"/>
    <n v="95552"/>
    <n v="10"/>
    <n v="5"/>
  </r>
  <r>
    <s v="PO10116"/>
    <x v="0"/>
    <s v="Control Valve"/>
    <x v="1"/>
    <s v="Branch A"/>
    <x v="75"/>
    <d v="2025-04-15T00:00:00"/>
    <d v="2025-04-20T00:00:00"/>
    <d v="2025-04-25T00:00:00"/>
    <x v="2"/>
    <n v="42"/>
    <n v="839.59"/>
    <n v="35262.78"/>
    <n v="10"/>
    <n v="5"/>
  </r>
  <r>
    <s v="PO10117"/>
    <x v="2"/>
    <s v="Industrial Motor"/>
    <x v="4"/>
    <s v="Branch A"/>
    <x v="5"/>
    <d v="2025-03-29T00:00:00"/>
    <d v="2025-03-29T00:00:00"/>
    <d v="2025-03-30T00:00:00"/>
    <x v="3"/>
    <n v="65"/>
    <n v="506.69"/>
    <n v="32934.85"/>
    <n v="3"/>
    <n v="0"/>
  </r>
  <r>
    <s v="PO10118"/>
    <x v="1"/>
    <s v="Hydraulic Pump"/>
    <x v="3"/>
    <s v="Branch E"/>
    <x v="25"/>
    <d v="2025-01-31T00:00:00"/>
    <d v="2025-02-01T00:00:00"/>
    <d v="2025-02-06T00:00:00"/>
    <x v="2"/>
    <n v="21"/>
    <n v="412.67"/>
    <n v="8666.07"/>
    <n v="15"/>
    <n v="1"/>
  </r>
  <r>
    <s v="PO10119"/>
    <x v="7"/>
    <s v="Automation Sensor"/>
    <x v="3"/>
    <s v="Branch F"/>
    <x v="70"/>
    <d v="2025-02-10T00:00:00"/>
    <d v="2025-02-10T00:00:00"/>
    <d v="2025-02-15T00:00:00"/>
    <x v="3"/>
    <n v="12"/>
    <n v="65.790000000000006"/>
    <n v="789.48"/>
    <n v="12"/>
    <n v="0"/>
  </r>
  <r>
    <s v="PO10120"/>
    <x v="9"/>
    <s v="Hydraulic Pump"/>
    <x v="1"/>
    <s v="Branch C"/>
    <x v="76"/>
    <d v="2025-01-24T00:00:00"/>
    <d v="2025-01-27T00:00:00"/>
    <d v="2025-01-31T00:00:00"/>
    <x v="2"/>
    <n v="25"/>
    <n v="283.95999999999998"/>
    <n v="7099"/>
    <n v="13"/>
    <n v="3"/>
  </r>
  <r>
    <s v="PO10121"/>
    <x v="0"/>
    <s v="Control Valve"/>
    <x v="3"/>
    <s v="Branch E"/>
    <x v="32"/>
    <d v="2025-04-03T00:00:00"/>
    <d v="2025-04-05T00:00:00"/>
    <d v="2025-04-10T00:00:00"/>
    <x v="1"/>
    <n v="102"/>
    <n v="845.51"/>
    <n v="86242.02"/>
    <n v="15"/>
    <n v="2"/>
  </r>
  <r>
    <s v="PO10122"/>
    <x v="7"/>
    <s v="Automation Sensor"/>
    <x v="3"/>
    <s v="Branch F"/>
    <x v="77"/>
    <d v="2025-03-28T00:00:00"/>
    <d v="2025-03-28T00:00:00"/>
    <d v="2025-03-29T00:00:00"/>
    <x v="0"/>
    <n v="63"/>
    <n v="360.53"/>
    <n v="22713.39"/>
    <n v="9"/>
    <n v="0"/>
  </r>
  <r>
    <s v="PO10123"/>
    <x v="7"/>
    <s v="Hydraulic Pump"/>
    <x v="2"/>
    <s v="Branch A"/>
    <x v="26"/>
    <d v="2025-01-21T00:00:00"/>
    <d v="2025-01-22T00:00:00"/>
    <d v="2025-01-25T00:00:00"/>
    <x v="1"/>
    <n v="100"/>
    <n v="811.25"/>
    <n v="81125"/>
    <n v="9"/>
    <n v="1"/>
  </r>
  <r>
    <s v="PO10124"/>
    <x v="0"/>
    <s v="Power Transmission Belt"/>
    <x v="2"/>
    <s v="Branch D"/>
    <x v="54"/>
    <d v="2025-01-21T00:00:00"/>
    <d v="2025-01-21T00:00:00"/>
    <d v="2025-01-24T00:00:00"/>
    <x v="0"/>
    <n v="155"/>
    <n v="813.78"/>
    <n v="126135.9"/>
    <n v="9"/>
    <n v="0"/>
  </r>
  <r>
    <s v="PO10125"/>
    <x v="8"/>
    <s v="Control Valve"/>
    <x v="4"/>
    <s v="Branch A"/>
    <x v="78"/>
    <d v="2025-02-28T00:00:00"/>
    <d v="2025-03-05T00:00:00"/>
    <d v="2025-03-09T00:00:00"/>
    <x v="1"/>
    <n v="189"/>
    <n v="57.96"/>
    <n v="10954.44"/>
    <n v="18"/>
    <n v="5"/>
  </r>
  <r>
    <s v="PO10126"/>
    <x v="0"/>
    <s v="Power Transmission Belt"/>
    <x v="2"/>
    <s v="Branch C"/>
    <x v="79"/>
    <d v="2025-03-26T00:00:00"/>
    <d v="2025-03-26T00:00:00"/>
    <d v="2025-03-28T00:00:00"/>
    <x v="3"/>
    <n v="32"/>
    <n v="307.35000000000002"/>
    <n v="9835.2000000000007"/>
    <n v="11"/>
    <n v="0"/>
  </r>
  <r>
    <s v="PO10127"/>
    <x v="0"/>
    <s v="Ball Bearings"/>
    <x v="0"/>
    <s v="Branch F"/>
    <x v="79"/>
    <d v="2025-03-21T00:00:00"/>
    <d v="2025-03-26T00:00:00"/>
    <d v="2025-03-30T00:00:00"/>
    <x v="1"/>
    <n v="164"/>
    <n v="527.33000000000004"/>
    <n v="86482.12"/>
    <n v="11"/>
    <n v="5"/>
  </r>
  <r>
    <s v="PO10128"/>
    <x v="1"/>
    <s v="Power Transmission Belt"/>
    <x v="2"/>
    <s v="Branch B"/>
    <x v="6"/>
    <d v="2025-05-01T00:00:00"/>
    <d v="2025-05-01T00:00:00"/>
    <d v="2025-05-02T00:00:00"/>
    <x v="0"/>
    <n v="200"/>
    <n v="273"/>
    <n v="54600"/>
    <n v="14"/>
    <n v="0"/>
  </r>
  <r>
    <s v="PO10129"/>
    <x v="2"/>
    <s v="Hydraulic Pump"/>
    <x v="0"/>
    <s v="Branch B"/>
    <x v="72"/>
    <d v="2025-04-27T00:00:00"/>
    <d v="2025-04-29T00:00:00"/>
    <d v="2025-05-03T00:00:00"/>
    <x v="2"/>
    <n v="194"/>
    <n v="543.70000000000005"/>
    <n v="105477.8"/>
    <n v="7"/>
    <n v="2"/>
  </r>
  <r>
    <s v="PO10130"/>
    <x v="6"/>
    <s v="Hydraulic Pump"/>
    <x v="2"/>
    <s v="Branch B"/>
    <x v="47"/>
    <d v="2025-02-27T00:00:00"/>
    <d v="2025-02-28T00:00:00"/>
    <d v="2025-03-03T00:00:00"/>
    <x v="2"/>
    <n v="84"/>
    <n v="617.53"/>
    <n v="51872.52"/>
    <n v="10"/>
    <n v="1"/>
  </r>
  <r>
    <s v="PO10131"/>
    <x v="3"/>
    <s v="Drive Unit"/>
    <x v="0"/>
    <s v="Branch D"/>
    <x v="27"/>
    <d v="2025-02-05T00:00:00"/>
    <d v="2025-02-07T00:00:00"/>
    <d v="2025-02-08T00:00:00"/>
    <x v="1"/>
    <n v="74"/>
    <n v="385"/>
    <n v="28490"/>
    <n v="17"/>
    <n v="2"/>
  </r>
  <r>
    <s v="PO10132"/>
    <x v="6"/>
    <s v="Drive Unit"/>
    <x v="0"/>
    <s v="Branch F"/>
    <x v="80"/>
    <d v="2025-03-02T00:00:00"/>
    <d v="2025-03-02T00:00:00"/>
    <d v="2025-03-07T00:00:00"/>
    <x v="0"/>
    <n v="33"/>
    <n v="251.51"/>
    <n v="8299.83"/>
    <n v="7"/>
    <n v="0"/>
  </r>
  <r>
    <s v="PO10133"/>
    <x v="9"/>
    <s v="Control Valve"/>
    <x v="4"/>
    <s v="Branch C"/>
    <x v="81"/>
    <d v="2025-02-12T00:00:00"/>
    <d v="2025-02-12T00:00:00"/>
    <d v="2025-02-16T00:00:00"/>
    <x v="2"/>
    <n v="82"/>
    <n v="804.35"/>
    <n v="65956.7"/>
    <n v="3"/>
    <n v="0"/>
  </r>
  <r>
    <s v="PO10134"/>
    <x v="5"/>
    <s v="Power Transmission Belt"/>
    <x v="2"/>
    <s v="Branch D"/>
    <x v="82"/>
    <d v="2025-01-19T00:00:00"/>
    <d v="2025-01-20T00:00:00"/>
    <d v="2025-01-24T00:00:00"/>
    <x v="2"/>
    <n v="102"/>
    <n v="459.71"/>
    <n v="46890.42"/>
    <n v="4"/>
    <n v="1"/>
  </r>
  <r>
    <s v="PO10135"/>
    <x v="6"/>
    <s v="Automation Sensor"/>
    <x v="0"/>
    <s v="Branch D"/>
    <x v="69"/>
    <d v="2025-05-05T00:00:00"/>
    <d v="2025-05-05T00:00:00"/>
    <d v="2025-05-09T00:00:00"/>
    <x v="0"/>
    <n v="24"/>
    <n v="734.86"/>
    <n v="17636.64"/>
    <n v="14"/>
    <n v="0"/>
  </r>
  <r>
    <s v="PO10136"/>
    <x v="9"/>
    <s v="Drive Unit"/>
    <x v="4"/>
    <s v="Branch A"/>
    <x v="83"/>
    <d v="2025-04-14T00:00:00"/>
    <d v="2025-04-15T00:00:00"/>
    <d v="2025-04-18T00:00:00"/>
    <x v="2"/>
    <n v="10"/>
    <n v="821.78"/>
    <n v="8217.7999999999993"/>
    <n v="14"/>
    <n v="1"/>
  </r>
  <r>
    <s v="PO10137"/>
    <x v="1"/>
    <s v="Gearbox Assembly"/>
    <x v="4"/>
    <s v="Branch B"/>
    <x v="84"/>
    <d v="2025-03-01T00:00:00"/>
    <d v="2025-03-01T00:00:00"/>
    <d v="2025-03-05T00:00:00"/>
    <x v="3"/>
    <n v="106"/>
    <n v="741.89"/>
    <n v="78640.34"/>
    <n v="4"/>
    <n v="0"/>
  </r>
  <r>
    <s v="PO10138"/>
    <x v="1"/>
    <s v="Power Transmission Belt"/>
    <x v="1"/>
    <s v="Branch B"/>
    <x v="85"/>
    <d v="2025-01-21T00:00:00"/>
    <d v="2025-01-24T00:00:00"/>
    <d v="2025-01-25T00:00:00"/>
    <x v="1"/>
    <n v="54"/>
    <n v="771.45"/>
    <n v="41658.300000000003"/>
    <n v="14"/>
    <n v="3"/>
  </r>
  <r>
    <s v="PO10139"/>
    <x v="4"/>
    <s v="Industrial Motor"/>
    <x v="3"/>
    <s v="Branch D"/>
    <x v="76"/>
    <d v="2025-01-19T00:00:00"/>
    <d v="2025-01-19T00:00:00"/>
    <d v="2025-01-21T00:00:00"/>
    <x v="0"/>
    <n v="199"/>
    <n v="648.89"/>
    <n v="129129.11"/>
    <n v="5"/>
    <n v="0"/>
  </r>
  <r>
    <s v="PO10140"/>
    <x v="6"/>
    <s v="Power Transmission Belt"/>
    <x v="4"/>
    <s v="Branch B"/>
    <x v="42"/>
    <d v="2025-04-19T00:00:00"/>
    <d v="2025-04-24T00:00:00"/>
    <d v="2025-04-29T00:00:00"/>
    <x v="1"/>
    <n v="149"/>
    <n v="551.9"/>
    <n v="82233.100000000006"/>
    <n v="17"/>
    <n v="5"/>
  </r>
  <r>
    <s v="PO10141"/>
    <x v="1"/>
    <s v="Hydraulic Pump"/>
    <x v="4"/>
    <s v="Branch D"/>
    <x v="74"/>
    <d v="2025-03-02T00:00:00"/>
    <d v="2025-03-03T00:00:00"/>
    <d v="2025-03-07T00:00:00"/>
    <x v="1"/>
    <n v="75"/>
    <n v="508.84"/>
    <n v="38163"/>
    <n v="5"/>
    <n v="1"/>
  </r>
  <r>
    <s v="PO10142"/>
    <x v="0"/>
    <s v="Automation Sensor"/>
    <x v="3"/>
    <s v="Branch E"/>
    <x v="60"/>
    <d v="2025-03-02T00:00:00"/>
    <d v="2025-03-02T00:00:00"/>
    <d v="2025-03-05T00:00:00"/>
    <x v="2"/>
    <n v="28"/>
    <n v="528.53"/>
    <n v="14798.84"/>
    <n v="3"/>
    <n v="0"/>
  </r>
  <r>
    <s v="PO10143"/>
    <x v="1"/>
    <s v="Drive Unit"/>
    <x v="0"/>
    <s v="Branch B"/>
    <x v="55"/>
    <d v="2025-03-27T00:00:00"/>
    <d v="2025-03-30T00:00:00"/>
    <d v="2025-03-31T00:00:00"/>
    <x v="1"/>
    <n v="151"/>
    <n v="559.28"/>
    <n v="84451.28"/>
    <n v="18"/>
    <n v="3"/>
  </r>
  <r>
    <s v="PO10144"/>
    <x v="7"/>
    <s v="Drive Unit"/>
    <x v="0"/>
    <s v="Branch E"/>
    <x v="86"/>
    <d v="2025-01-18T00:00:00"/>
    <d v="2025-01-18T00:00:00"/>
    <d v="2025-01-21T00:00:00"/>
    <x v="0"/>
    <n v="49"/>
    <n v="47.68"/>
    <n v="2336.3200000000002"/>
    <n v="10"/>
    <n v="0"/>
  </r>
  <r>
    <s v="PO10145"/>
    <x v="2"/>
    <s v="Power Transmission Belt"/>
    <x v="2"/>
    <s v="Branch C"/>
    <x v="67"/>
    <d v="2025-03-25T00:00:00"/>
    <d v="2025-03-25T00:00:00"/>
    <d v="2025-03-28T00:00:00"/>
    <x v="3"/>
    <n v="91"/>
    <n v="581.88"/>
    <n v="52951.08"/>
    <n v="5"/>
    <n v="0"/>
  </r>
  <r>
    <s v="PO10146"/>
    <x v="6"/>
    <s v="Industrial Motor"/>
    <x v="4"/>
    <s v="Branch A"/>
    <x v="26"/>
    <d v="2025-01-24T00:00:00"/>
    <d v="2025-01-27T00:00:00"/>
    <d v="2025-01-31T00:00:00"/>
    <x v="1"/>
    <n v="190"/>
    <n v="726.06"/>
    <n v="137951.4"/>
    <n v="14"/>
    <n v="3"/>
  </r>
  <r>
    <s v="PO10147"/>
    <x v="9"/>
    <s v="Hydraulic Pump"/>
    <x v="4"/>
    <s v="Branch E"/>
    <x v="36"/>
    <d v="2025-03-29T00:00:00"/>
    <d v="2025-03-29T00:00:00"/>
    <d v="2025-04-01T00:00:00"/>
    <x v="3"/>
    <n v="183"/>
    <n v="567.88"/>
    <n v="103922.04"/>
    <n v="13"/>
    <n v="0"/>
  </r>
  <r>
    <s v="PO10148"/>
    <x v="0"/>
    <s v="Hydraulic Pump"/>
    <x v="3"/>
    <s v="Branch E"/>
    <x v="47"/>
    <d v="2025-03-03T00:00:00"/>
    <d v="2025-03-08T00:00:00"/>
    <d v="2025-03-11T00:00:00"/>
    <x v="1"/>
    <n v="176"/>
    <n v="601.86"/>
    <n v="105927.36"/>
    <n v="18"/>
    <n v="5"/>
  </r>
  <r>
    <s v="PO10149"/>
    <x v="7"/>
    <s v="Gearbox Assembly"/>
    <x v="1"/>
    <s v="Branch B"/>
    <x v="31"/>
    <d v="2025-02-19T00:00:00"/>
    <d v="2025-02-19T00:00:00"/>
    <d v="2025-02-22T00:00:00"/>
    <x v="0"/>
    <n v="92"/>
    <n v="806.3"/>
    <n v="74179.600000000006"/>
    <n v="3"/>
    <n v="0"/>
  </r>
  <r>
    <s v="PO10150"/>
    <x v="3"/>
    <s v="Industrial Motor"/>
    <x v="1"/>
    <s v="Branch B"/>
    <x v="44"/>
    <d v="2025-01-24T00:00:00"/>
    <d v="2025-01-24T00:00:00"/>
    <d v="2025-01-25T00:00:00"/>
    <x v="0"/>
    <n v="163"/>
    <n v="124.43"/>
    <n v="20282.09"/>
    <n v="4"/>
    <n v="0"/>
  </r>
  <r>
    <s v="PO10151"/>
    <x v="2"/>
    <s v="Automation Sensor"/>
    <x v="4"/>
    <s v="Branch F"/>
    <x v="6"/>
    <d v="2025-05-01T00:00:00"/>
    <d v="2025-05-06T00:00:00"/>
    <d v="2025-05-11T00:00:00"/>
    <x v="1"/>
    <n v="47"/>
    <n v="617.19000000000005"/>
    <n v="29007.93"/>
    <n v="19"/>
    <n v="5"/>
  </r>
  <r>
    <s v="PO10152"/>
    <x v="5"/>
    <s v="Gearbox Assembly"/>
    <x v="4"/>
    <s v="Branch D"/>
    <x v="13"/>
    <d v="2025-04-09T00:00:00"/>
    <d v="2025-04-10T00:00:00"/>
    <d v="2025-04-15T00:00:00"/>
    <x v="1"/>
    <n v="196"/>
    <n v="669.47"/>
    <n v="131216.12"/>
    <n v="7"/>
    <n v="1"/>
  </r>
  <r>
    <s v="PO10153"/>
    <x v="0"/>
    <s v="Automation Sensor"/>
    <x v="1"/>
    <s v="Branch B"/>
    <x v="45"/>
    <d v="2025-05-02T00:00:00"/>
    <d v="2025-05-02T00:00:00"/>
    <d v="2025-05-07T00:00:00"/>
    <x v="3"/>
    <n v="77"/>
    <n v="664.73"/>
    <n v="51184.21"/>
    <n v="6"/>
    <n v="0"/>
  </r>
  <r>
    <s v="PO10154"/>
    <x v="4"/>
    <s v="Hydraulic Pump"/>
    <x v="4"/>
    <s v="Branch A"/>
    <x v="33"/>
    <d v="2025-04-25T00:00:00"/>
    <d v="2025-04-25T00:00:00"/>
    <d v="2025-04-28T00:00:00"/>
    <x v="0"/>
    <n v="100"/>
    <n v="478.04"/>
    <n v="47804"/>
    <n v="12"/>
    <n v="0"/>
  </r>
  <r>
    <s v="PO10155"/>
    <x v="5"/>
    <s v="Drive Unit"/>
    <x v="4"/>
    <s v="Branch A"/>
    <x v="3"/>
    <d v="2025-04-13T00:00:00"/>
    <d v="2025-04-13T00:00:00"/>
    <d v="2025-04-17T00:00:00"/>
    <x v="0"/>
    <n v="28"/>
    <n v="805.26"/>
    <n v="22547.279999999999"/>
    <n v="5"/>
    <n v="0"/>
  </r>
  <r>
    <s v="PO10156"/>
    <x v="1"/>
    <s v="Gearbox Assembly"/>
    <x v="2"/>
    <s v="Branch C"/>
    <x v="80"/>
    <d v="2025-02-26T00:00:00"/>
    <d v="2025-02-27T00:00:00"/>
    <d v="2025-03-04T00:00:00"/>
    <x v="1"/>
    <n v="103"/>
    <n v="845.43"/>
    <n v="87079.29"/>
    <n v="4"/>
    <n v="1"/>
  </r>
  <r>
    <s v="PO10157"/>
    <x v="7"/>
    <s v="Industrial Motor"/>
    <x v="3"/>
    <s v="Branch D"/>
    <x v="28"/>
    <d v="2025-05-04T00:00:00"/>
    <d v="2025-05-09T00:00:00"/>
    <d v="2025-05-12T00:00:00"/>
    <x v="1"/>
    <n v="40"/>
    <n v="46.98"/>
    <n v="1879.2"/>
    <n v="9"/>
    <n v="5"/>
  </r>
  <r>
    <s v="PO10158"/>
    <x v="6"/>
    <s v="Automation Sensor"/>
    <x v="2"/>
    <s v="Branch C"/>
    <x v="67"/>
    <d v="2025-03-23T00:00:00"/>
    <d v="2025-03-23T00:00:00"/>
    <d v="2025-03-24T00:00:00"/>
    <x v="3"/>
    <n v="43"/>
    <n v="473.25"/>
    <n v="20349.75"/>
    <n v="3"/>
    <n v="0"/>
  </r>
  <r>
    <s v="PO10159"/>
    <x v="4"/>
    <s v="Drive Unit"/>
    <x v="0"/>
    <s v="Branch E"/>
    <x v="14"/>
    <d v="2025-02-07T00:00:00"/>
    <d v="2025-02-07T00:00:00"/>
    <d v="2025-02-08T00:00:00"/>
    <x v="0"/>
    <n v="164"/>
    <n v="396.69"/>
    <n v="65057.16"/>
    <n v="7"/>
    <n v="0"/>
  </r>
  <r>
    <s v="PO10160"/>
    <x v="2"/>
    <s v="Power Transmission Belt"/>
    <x v="1"/>
    <s v="Branch E"/>
    <x v="48"/>
    <d v="2025-01-16T00:00:00"/>
    <d v="2025-01-18T00:00:00"/>
    <d v="2025-01-23T00:00:00"/>
    <x v="1"/>
    <n v="41"/>
    <n v="258.20999999999998"/>
    <n v="10586.61"/>
    <n v="15"/>
    <n v="2"/>
  </r>
  <r>
    <s v="PO10161"/>
    <x v="0"/>
    <s v="Ball Bearings"/>
    <x v="3"/>
    <s v="Branch D"/>
    <x v="80"/>
    <d v="2025-02-28T00:00:00"/>
    <d v="2025-03-03T00:00:00"/>
    <d v="2025-03-04T00:00:00"/>
    <x v="1"/>
    <n v="97"/>
    <n v="71.510000000000005"/>
    <n v="6936.47"/>
    <n v="8"/>
    <n v="3"/>
  </r>
  <r>
    <s v="PO10162"/>
    <x v="4"/>
    <s v="Power Transmission Belt"/>
    <x v="1"/>
    <s v="Branch F"/>
    <x v="24"/>
    <d v="2025-01-19T00:00:00"/>
    <d v="2025-01-20T00:00:00"/>
    <d v="2025-01-23T00:00:00"/>
    <x v="1"/>
    <n v="9"/>
    <n v="313.17"/>
    <n v="2818.53"/>
    <n v="14"/>
    <n v="1"/>
  </r>
  <r>
    <s v="PO10163"/>
    <x v="9"/>
    <s v="Drive Unit"/>
    <x v="3"/>
    <s v="Branch F"/>
    <x v="5"/>
    <d v="2025-04-08T00:00:00"/>
    <d v="2025-04-08T00:00:00"/>
    <d v="2025-04-13T00:00:00"/>
    <x v="2"/>
    <n v="95"/>
    <n v="470.92"/>
    <n v="44737.4"/>
    <n v="13"/>
    <n v="0"/>
  </r>
  <r>
    <s v="PO10164"/>
    <x v="5"/>
    <s v="Ball Bearings"/>
    <x v="4"/>
    <s v="Branch C"/>
    <x v="59"/>
    <d v="2025-02-08T00:00:00"/>
    <d v="2025-02-08T00:00:00"/>
    <d v="2025-02-09T00:00:00"/>
    <x v="2"/>
    <n v="56"/>
    <n v="51.58"/>
    <n v="2888.48"/>
    <n v="15"/>
    <n v="0"/>
  </r>
  <r>
    <s v="PO10165"/>
    <x v="5"/>
    <s v="Control Valve"/>
    <x v="4"/>
    <s v="Branch A"/>
    <x v="87"/>
    <d v="2025-03-16T00:00:00"/>
    <d v="2025-03-21T00:00:00"/>
    <d v="2025-03-26T00:00:00"/>
    <x v="1"/>
    <n v="14"/>
    <n v="644"/>
    <n v="9016"/>
    <n v="14"/>
    <n v="5"/>
  </r>
  <r>
    <s v="PO10166"/>
    <x v="7"/>
    <s v="Automation Sensor"/>
    <x v="4"/>
    <s v="Branch B"/>
    <x v="69"/>
    <d v="2025-05-04T00:00:00"/>
    <d v="2025-05-04T00:00:00"/>
    <d v="2025-05-07T00:00:00"/>
    <x v="0"/>
    <n v="116"/>
    <n v="757.72"/>
    <n v="87895.52"/>
    <n v="13"/>
    <n v="0"/>
  </r>
  <r>
    <s v="PO10167"/>
    <x v="4"/>
    <s v="Automation Sensor"/>
    <x v="2"/>
    <s v="Branch D"/>
    <x v="9"/>
    <d v="2025-03-19T00:00:00"/>
    <d v="2025-03-20T00:00:00"/>
    <d v="2025-03-23T00:00:00"/>
    <x v="1"/>
    <n v="137"/>
    <n v="237.71"/>
    <n v="32566.27"/>
    <n v="15"/>
    <n v="1"/>
  </r>
  <r>
    <s v="PO10168"/>
    <x v="8"/>
    <s v="Control Valve"/>
    <x v="3"/>
    <s v="Branch E"/>
    <x v="77"/>
    <d v="2025-03-24T00:00:00"/>
    <d v="2025-03-26T00:00:00"/>
    <d v="2025-03-29T00:00:00"/>
    <x v="1"/>
    <n v="25"/>
    <n v="288.81"/>
    <n v="7220.25"/>
    <n v="7"/>
    <n v="2"/>
  </r>
  <r>
    <s v="PO10169"/>
    <x v="1"/>
    <s v="Automation Sensor"/>
    <x v="4"/>
    <s v="Branch F"/>
    <x v="43"/>
    <d v="2025-04-11T00:00:00"/>
    <d v="2025-04-11T00:00:00"/>
    <d v="2025-04-15T00:00:00"/>
    <x v="3"/>
    <n v="191"/>
    <n v="741.48"/>
    <n v="141622.68"/>
    <n v="9"/>
    <n v="0"/>
  </r>
  <r>
    <s v="PO10170"/>
    <x v="2"/>
    <s v="Industrial Motor"/>
    <x v="0"/>
    <s v="Branch F"/>
    <x v="88"/>
    <d v="2025-04-15T00:00:00"/>
    <d v="2025-04-15T00:00:00"/>
    <d v="2025-04-19T00:00:00"/>
    <x v="3"/>
    <n v="196"/>
    <n v="582.30999999999995"/>
    <n v="114132.76"/>
    <n v="3"/>
    <n v="0"/>
  </r>
  <r>
    <s v="PO10171"/>
    <x v="3"/>
    <s v="Ball Bearings"/>
    <x v="0"/>
    <s v="Branch B"/>
    <x v="71"/>
    <d v="2025-04-21T00:00:00"/>
    <d v="2025-04-21T00:00:00"/>
    <d v="2025-04-23T00:00:00"/>
    <x v="0"/>
    <n v="170"/>
    <n v="320.88"/>
    <n v="54549.599999999999"/>
    <n v="10"/>
    <n v="0"/>
  </r>
  <r>
    <s v="PO10172"/>
    <x v="1"/>
    <s v="Automation Sensor"/>
    <x v="4"/>
    <s v="Branch F"/>
    <x v="39"/>
    <d v="2025-04-07T00:00:00"/>
    <d v="2025-04-07T00:00:00"/>
    <d v="2025-04-10T00:00:00"/>
    <x v="3"/>
    <n v="151"/>
    <n v="129.97999999999999"/>
    <n v="19626.98"/>
    <n v="10"/>
    <n v="0"/>
  </r>
  <r>
    <s v="PO10173"/>
    <x v="4"/>
    <s v="Control Valve"/>
    <x v="4"/>
    <s v="Branch F"/>
    <x v="89"/>
    <d v="2025-02-11T00:00:00"/>
    <d v="2025-02-11T00:00:00"/>
    <d v="2025-02-12T00:00:00"/>
    <x v="0"/>
    <n v="104"/>
    <n v="777.81"/>
    <n v="80892.240000000005"/>
    <n v="6"/>
    <n v="0"/>
  </r>
  <r>
    <s v="PO10174"/>
    <x v="9"/>
    <s v="Hydraulic Pump"/>
    <x v="3"/>
    <s v="Branch B"/>
    <x v="60"/>
    <d v="2025-03-05T00:00:00"/>
    <d v="2025-03-07T00:00:00"/>
    <d v="2025-03-10T00:00:00"/>
    <x v="1"/>
    <n v="130"/>
    <n v="182.15"/>
    <n v="23679.5"/>
    <n v="8"/>
    <n v="2"/>
  </r>
  <r>
    <s v="PO10175"/>
    <x v="4"/>
    <s v="Control Valve"/>
    <x v="4"/>
    <s v="Branch B"/>
    <x v="45"/>
    <d v="2025-05-10T00:00:00"/>
    <d v="2025-05-11T00:00:00"/>
    <d v="2025-05-12T00:00:00"/>
    <x v="1"/>
    <n v="86"/>
    <n v="572.65"/>
    <n v="49247.9"/>
    <n v="15"/>
    <n v="1"/>
  </r>
  <r>
    <s v="PO10176"/>
    <x v="5"/>
    <s v="Industrial Motor"/>
    <x v="1"/>
    <s v="Branch D"/>
    <x v="43"/>
    <d v="2025-04-16T00:00:00"/>
    <d v="2025-04-19T00:00:00"/>
    <d v="2025-04-21T00:00:00"/>
    <x v="1"/>
    <n v="135"/>
    <n v="202.24"/>
    <n v="27302.400000000001"/>
    <n v="17"/>
    <n v="3"/>
  </r>
  <r>
    <s v="PO10177"/>
    <x v="4"/>
    <s v="Hydraulic Pump"/>
    <x v="4"/>
    <s v="Branch D"/>
    <x v="90"/>
    <d v="2025-01-12T00:00:00"/>
    <d v="2025-01-14T00:00:00"/>
    <d v="2025-01-19T00:00:00"/>
    <x v="1"/>
    <n v="146"/>
    <n v="123.36"/>
    <n v="18010.560000000001"/>
    <n v="10"/>
    <n v="2"/>
  </r>
  <r>
    <s v="PO10178"/>
    <x v="4"/>
    <s v="Industrial Motor"/>
    <x v="4"/>
    <s v="Branch F"/>
    <x v="43"/>
    <d v="2025-04-16T00:00:00"/>
    <d v="2025-04-17T00:00:00"/>
    <d v="2025-04-22T00:00:00"/>
    <x v="1"/>
    <n v="109"/>
    <n v="702.49"/>
    <n v="76571.41"/>
    <n v="15"/>
    <n v="1"/>
  </r>
  <r>
    <s v="PO10179"/>
    <x v="9"/>
    <s v="Industrial Motor"/>
    <x v="3"/>
    <s v="Branch E"/>
    <x v="85"/>
    <d v="2025-01-20T00:00:00"/>
    <d v="2025-01-21T00:00:00"/>
    <d v="2025-01-26T00:00:00"/>
    <x v="1"/>
    <n v="146"/>
    <n v="549.23"/>
    <n v="80187.58"/>
    <n v="11"/>
    <n v="1"/>
  </r>
  <r>
    <s v="PO10180"/>
    <x v="1"/>
    <s v="Gearbox Assembly"/>
    <x v="4"/>
    <s v="Branch E"/>
    <x v="91"/>
    <d v="2025-04-30T00:00:00"/>
    <d v="2025-05-05T00:00:00"/>
    <d v="2025-05-06T00:00:00"/>
    <x v="1"/>
    <n v="82"/>
    <n v="152.49"/>
    <n v="12504.18"/>
    <n v="8"/>
    <n v="5"/>
  </r>
  <r>
    <s v="PO10181"/>
    <x v="8"/>
    <s v="Industrial Motor"/>
    <x v="4"/>
    <s v="Branch E"/>
    <x v="10"/>
    <d v="2025-05-02T00:00:00"/>
    <d v="2025-05-07T00:00:00"/>
    <d v="2025-05-08T00:00:00"/>
    <x v="1"/>
    <n v="167"/>
    <n v="813.55"/>
    <n v="135862.85"/>
    <n v="12"/>
    <n v="5"/>
  </r>
  <r>
    <s v="PO10182"/>
    <x v="6"/>
    <s v="Power Transmission Belt"/>
    <x v="0"/>
    <s v="Branch A"/>
    <x v="56"/>
    <d v="2025-03-14T00:00:00"/>
    <d v="2025-03-16T00:00:00"/>
    <d v="2025-03-18T00:00:00"/>
    <x v="1"/>
    <n v="153"/>
    <n v="143.75"/>
    <n v="21993.75"/>
    <n v="6"/>
    <n v="2"/>
  </r>
  <r>
    <s v="PO10183"/>
    <x v="2"/>
    <s v="Drive Unit"/>
    <x v="0"/>
    <s v="Branch C"/>
    <x v="8"/>
    <d v="2025-04-19T00:00:00"/>
    <d v="2025-04-19T00:00:00"/>
    <d v="2025-04-20T00:00:00"/>
    <x v="3"/>
    <n v="151"/>
    <n v="362.85"/>
    <n v="54790.35"/>
    <n v="3"/>
    <n v="0"/>
  </r>
  <r>
    <s v="PO10184"/>
    <x v="7"/>
    <s v="Hydraulic Pump"/>
    <x v="2"/>
    <s v="Branch B"/>
    <x v="92"/>
    <d v="2025-03-31T00:00:00"/>
    <d v="2025-04-01T00:00:00"/>
    <d v="2025-04-03T00:00:00"/>
    <x v="1"/>
    <n v="180"/>
    <n v="354.09"/>
    <n v="63736.2"/>
    <n v="8"/>
    <n v="1"/>
  </r>
  <r>
    <s v="PO10185"/>
    <x v="1"/>
    <s v="Power Transmission Belt"/>
    <x v="3"/>
    <s v="Branch B"/>
    <x v="74"/>
    <d v="2025-03-07T00:00:00"/>
    <d v="2025-03-08T00:00:00"/>
    <d v="2025-03-12T00:00:00"/>
    <x v="1"/>
    <n v="160"/>
    <n v="134.96"/>
    <n v="21593.599999999999"/>
    <n v="10"/>
    <n v="1"/>
  </r>
  <r>
    <s v="PO10186"/>
    <x v="8"/>
    <s v="Drive Unit"/>
    <x v="1"/>
    <s v="Branch B"/>
    <x v="3"/>
    <d v="2025-04-16T00:00:00"/>
    <d v="2025-04-18T00:00:00"/>
    <d v="2025-04-23T00:00:00"/>
    <x v="2"/>
    <n v="66"/>
    <n v="404.5"/>
    <n v="26697"/>
    <n v="10"/>
    <n v="2"/>
  </r>
  <r>
    <s v="PO10187"/>
    <x v="6"/>
    <s v="Power Transmission Belt"/>
    <x v="1"/>
    <s v="Branch B"/>
    <x v="26"/>
    <d v="2025-01-16T00:00:00"/>
    <d v="2025-01-16T00:00:00"/>
    <d v="2025-01-20T00:00:00"/>
    <x v="3"/>
    <n v="45"/>
    <n v="694.25"/>
    <n v="31241.25"/>
    <n v="3"/>
    <n v="0"/>
  </r>
  <r>
    <s v="PO10188"/>
    <x v="3"/>
    <s v="Drive Unit"/>
    <x v="1"/>
    <s v="Branch B"/>
    <x v="9"/>
    <d v="2025-03-16T00:00:00"/>
    <d v="2025-03-17T00:00:00"/>
    <d v="2025-03-21T00:00:00"/>
    <x v="1"/>
    <n v="132"/>
    <n v="34.35"/>
    <n v="4534.2"/>
    <n v="12"/>
    <n v="1"/>
  </r>
  <r>
    <s v="PO10189"/>
    <x v="8"/>
    <s v="Ball Bearings"/>
    <x v="2"/>
    <s v="Branch D"/>
    <x v="36"/>
    <d v="2025-03-24T00:00:00"/>
    <d v="2025-03-24T00:00:00"/>
    <d v="2025-03-25T00:00:00"/>
    <x v="3"/>
    <n v="172"/>
    <n v="576.54999999999995"/>
    <n v="99166.6"/>
    <n v="8"/>
    <n v="0"/>
  </r>
  <r>
    <s v="PO10190"/>
    <x v="2"/>
    <s v="Gearbox Assembly"/>
    <x v="4"/>
    <s v="Branch E"/>
    <x v="93"/>
    <d v="2025-01-25T00:00:00"/>
    <d v="2025-01-28T00:00:00"/>
    <d v="2025-01-31T00:00:00"/>
    <x v="1"/>
    <n v="98"/>
    <n v="52.78"/>
    <n v="5172.4399999999996"/>
    <n v="10"/>
    <n v="3"/>
  </r>
  <r>
    <s v="PO10191"/>
    <x v="6"/>
    <s v="Hydraulic Pump"/>
    <x v="1"/>
    <s v="Branch A"/>
    <x v="21"/>
    <d v="2025-02-10T00:00:00"/>
    <d v="2025-02-11T00:00:00"/>
    <d v="2025-02-16T00:00:00"/>
    <x v="1"/>
    <n v="145"/>
    <n v="248.57"/>
    <n v="36042.65"/>
    <n v="5"/>
    <n v="1"/>
  </r>
  <r>
    <s v="PO10192"/>
    <x v="5"/>
    <s v="Automation Sensor"/>
    <x v="0"/>
    <s v="Branch A"/>
    <x v="94"/>
    <d v="2025-02-28T00:00:00"/>
    <d v="2025-03-05T00:00:00"/>
    <d v="2025-03-08T00:00:00"/>
    <x v="1"/>
    <n v="98"/>
    <n v="645.4"/>
    <n v="63249.2"/>
    <n v="13"/>
    <n v="5"/>
  </r>
  <r>
    <s v="PO10193"/>
    <x v="0"/>
    <s v="Industrial Motor"/>
    <x v="4"/>
    <s v="Branch E"/>
    <x v="24"/>
    <d v="2025-01-09T00:00:00"/>
    <d v="2025-01-09T00:00:00"/>
    <d v="2025-01-12T00:00:00"/>
    <x v="3"/>
    <n v="43"/>
    <n v="521.23"/>
    <n v="22412.89"/>
    <n v="3"/>
    <n v="0"/>
  </r>
  <r>
    <s v="PO10194"/>
    <x v="0"/>
    <s v="Drive Unit"/>
    <x v="0"/>
    <s v="Branch C"/>
    <x v="62"/>
    <d v="2025-02-15T00:00:00"/>
    <d v="2025-02-16T00:00:00"/>
    <d v="2025-02-21T00:00:00"/>
    <x v="1"/>
    <n v="81"/>
    <n v="510.76"/>
    <n v="41371.56"/>
    <n v="6"/>
    <n v="1"/>
  </r>
  <r>
    <s v="PO10195"/>
    <x v="2"/>
    <s v="Drive Unit"/>
    <x v="4"/>
    <s v="Branch F"/>
    <x v="15"/>
    <d v="2025-03-05T00:00:00"/>
    <d v="2025-03-05T00:00:00"/>
    <d v="2025-03-08T00:00:00"/>
    <x v="0"/>
    <n v="154"/>
    <n v="271.91000000000003"/>
    <n v="41874.14"/>
    <n v="3"/>
    <n v="0"/>
  </r>
  <r>
    <s v="PO10196"/>
    <x v="9"/>
    <s v="Automation Sensor"/>
    <x v="1"/>
    <s v="Branch F"/>
    <x v="71"/>
    <d v="2025-04-26T00:00:00"/>
    <d v="2025-04-28T00:00:00"/>
    <d v="2025-05-03T00:00:00"/>
    <x v="1"/>
    <n v="18"/>
    <n v="502.24"/>
    <n v="9040.32"/>
    <n v="17"/>
    <n v="2"/>
  </r>
  <r>
    <s v="PO10197"/>
    <x v="9"/>
    <s v="Automation Sensor"/>
    <x v="1"/>
    <s v="Branch D"/>
    <x v="7"/>
    <d v="2025-02-04T00:00:00"/>
    <d v="2025-02-06T00:00:00"/>
    <d v="2025-02-07T00:00:00"/>
    <x v="2"/>
    <n v="117"/>
    <n v="276.93"/>
    <n v="32400.81"/>
    <n v="5"/>
    <n v="2"/>
  </r>
  <r>
    <s v="PO10198"/>
    <x v="9"/>
    <s v="Gearbox Assembly"/>
    <x v="0"/>
    <s v="Branch C"/>
    <x v="66"/>
    <d v="2025-03-21T00:00:00"/>
    <d v="2025-03-23T00:00:00"/>
    <d v="2025-03-27T00:00:00"/>
    <x v="1"/>
    <n v="193"/>
    <n v="622.38"/>
    <n v="120119.34"/>
    <n v="17"/>
    <n v="2"/>
  </r>
  <r>
    <s v="PO10199"/>
    <x v="0"/>
    <s v="Power Transmission Belt"/>
    <x v="0"/>
    <s v="Branch C"/>
    <x v="5"/>
    <d v="2025-04-05T00:00:00"/>
    <d v="2025-04-07T00:00:00"/>
    <d v="2025-04-11T00:00:00"/>
    <x v="1"/>
    <n v="49"/>
    <n v="398.82"/>
    <n v="19542.18"/>
    <n v="12"/>
    <n v="2"/>
  </r>
  <r>
    <s v="PO10200"/>
    <x v="8"/>
    <s v="Control Valve"/>
    <x v="1"/>
    <s v="Branch C"/>
    <x v="39"/>
    <d v="2025-04-12T00:00:00"/>
    <d v="2025-04-17T00:00:00"/>
    <d v="2025-04-20T00:00:00"/>
    <x v="1"/>
    <n v="54"/>
    <n v="814.38"/>
    <n v="43976.52"/>
    <n v="20"/>
    <n v="5"/>
  </r>
  <r>
    <s v="PO10201"/>
    <x v="1"/>
    <s v="Control Valve"/>
    <x v="4"/>
    <s v="Branch A"/>
    <x v="95"/>
    <d v="2025-04-16T00:00:00"/>
    <d v="2025-04-19T00:00:00"/>
    <d v="2025-04-21T00:00:00"/>
    <x v="1"/>
    <n v="130"/>
    <n v="279.73"/>
    <n v="36364.9"/>
    <n v="10"/>
    <n v="3"/>
  </r>
  <r>
    <s v="PO10202"/>
    <x v="9"/>
    <s v="Control Valve"/>
    <x v="2"/>
    <s v="Branch C"/>
    <x v="79"/>
    <d v="2025-03-28T00:00:00"/>
    <d v="2025-03-30T00:00:00"/>
    <d v="2025-04-03T00:00:00"/>
    <x v="1"/>
    <n v="106"/>
    <n v="698.35"/>
    <n v="74025.100000000006"/>
    <n v="15"/>
    <n v="2"/>
  </r>
  <r>
    <s v="PO10203"/>
    <x v="0"/>
    <s v="Control Valve"/>
    <x v="0"/>
    <s v="Branch F"/>
    <x v="43"/>
    <d v="2025-04-06T00:00:00"/>
    <d v="2025-04-06T00:00:00"/>
    <d v="2025-04-10T00:00:00"/>
    <x v="3"/>
    <n v="59"/>
    <n v="183.73"/>
    <n v="10840.07"/>
    <n v="4"/>
    <n v="0"/>
  </r>
  <r>
    <s v="PO10204"/>
    <x v="5"/>
    <s v="Gearbox Assembly"/>
    <x v="2"/>
    <s v="Branch A"/>
    <x v="46"/>
    <d v="2025-02-09T00:00:00"/>
    <d v="2025-02-09T00:00:00"/>
    <d v="2025-02-14T00:00:00"/>
    <x v="0"/>
    <n v="176"/>
    <n v="770.83"/>
    <n v="135666.07999999999"/>
    <n v="5"/>
    <n v="0"/>
  </r>
  <r>
    <s v="PO10205"/>
    <x v="0"/>
    <s v="Industrial Motor"/>
    <x v="3"/>
    <s v="Branch F"/>
    <x v="20"/>
    <d v="2025-03-02T00:00:00"/>
    <d v="2025-03-05T00:00:00"/>
    <d v="2025-03-09T00:00:00"/>
    <x v="2"/>
    <n v="40"/>
    <n v="19.329999999999998"/>
    <n v="773.2"/>
    <n v="11"/>
    <n v="3"/>
  </r>
  <r>
    <s v="PO10206"/>
    <x v="2"/>
    <s v="Hydraulic Pump"/>
    <x v="0"/>
    <s v="Branch B"/>
    <x v="28"/>
    <d v="2025-05-10T00:00:00"/>
    <d v="2025-05-11T00:00:00"/>
    <d v="2025-05-13T00:00:00"/>
    <x v="1"/>
    <n v="78"/>
    <n v="283.18"/>
    <n v="22088.04"/>
    <n v="11"/>
    <n v="1"/>
  </r>
  <r>
    <s v="PO10207"/>
    <x v="9"/>
    <s v="Ball Bearings"/>
    <x v="3"/>
    <s v="Branch D"/>
    <x v="56"/>
    <d v="2025-03-24T00:00:00"/>
    <d v="2025-03-27T00:00:00"/>
    <d v="2025-03-28T00:00:00"/>
    <x v="1"/>
    <n v="49"/>
    <n v="363.93"/>
    <n v="17832.57"/>
    <n v="17"/>
    <n v="3"/>
  </r>
  <r>
    <s v="PO10208"/>
    <x v="6"/>
    <s v="Hydraulic Pump"/>
    <x v="4"/>
    <s v="Branch C"/>
    <x v="59"/>
    <d v="2025-02-07T00:00:00"/>
    <d v="2025-02-12T00:00:00"/>
    <d v="2025-02-15T00:00:00"/>
    <x v="1"/>
    <n v="7"/>
    <n v="264.16000000000003"/>
    <n v="1849.12"/>
    <n v="19"/>
    <n v="5"/>
  </r>
  <r>
    <s v="PO10209"/>
    <x v="7"/>
    <s v="Control Valve"/>
    <x v="1"/>
    <s v="Branch A"/>
    <x v="96"/>
    <d v="2025-03-13T00:00:00"/>
    <d v="2025-03-15T00:00:00"/>
    <d v="2025-03-20T00:00:00"/>
    <x v="1"/>
    <n v="39"/>
    <n v="725.63"/>
    <n v="28299.57"/>
    <n v="15"/>
    <n v="2"/>
  </r>
  <r>
    <s v="PO10210"/>
    <x v="1"/>
    <s v="Control Valve"/>
    <x v="0"/>
    <s v="Branch F"/>
    <x v="97"/>
    <d v="2025-02-17T00:00:00"/>
    <d v="2025-02-20T00:00:00"/>
    <d v="2025-02-24T00:00:00"/>
    <x v="1"/>
    <n v="188"/>
    <n v="170.48"/>
    <n v="32050.240000000002"/>
    <n v="8"/>
    <n v="3"/>
  </r>
  <r>
    <s v="PO10211"/>
    <x v="3"/>
    <s v="Hydraulic Pump"/>
    <x v="1"/>
    <s v="Branch B"/>
    <x v="42"/>
    <d v="2025-04-13T00:00:00"/>
    <d v="2025-04-13T00:00:00"/>
    <d v="2025-04-18T00:00:00"/>
    <x v="3"/>
    <n v="136"/>
    <n v="288.82"/>
    <n v="39279.519999999997"/>
    <n v="6"/>
    <n v="0"/>
  </r>
  <r>
    <s v="PO10212"/>
    <x v="1"/>
    <s v="Control Valve"/>
    <x v="0"/>
    <s v="Branch F"/>
    <x v="98"/>
    <d v="2025-03-11T00:00:00"/>
    <d v="2025-03-11T00:00:00"/>
    <d v="2025-03-12T00:00:00"/>
    <x v="3"/>
    <n v="119"/>
    <n v="644.39"/>
    <n v="76682.41"/>
    <n v="8"/>
    <n v="0"/>
  </r>
  <r>
    <s v="PO10213"/>
    <x v="9"/>
    <s v="Automation Sensor"/>
    <x v="0"/>
    <s v="Branch F"/>
    <x v="79"/>
    <d v="2025-03-18T00:00:00"/>
    <d v="2025-03-18T00:00:00"/>
    <d v="2025-03-21T00:00:00"/>
    <x v="2"/>
    <n v="35"/>
    <n v="403.6"/>
    <n v="14126"/>
    <n v="3"/>
    <n v="0"/>
  </r>
  <r>
    <s v="PO10214"/>
    <x v="5"/>
    <s v="Gearbox Assembly"/>
    <x v="1"/>
    <s v="Branch D"/>
    <x v="95"/>
    <d v="2025-04-16T00:00:00"/>
    <d v="2025-04-19T00:00:00"/>
    <d v="2025-04-20T00:00:00"/>
    <x v="1"/>
    <n v="80"/>
    <n v="321.89999999999998"/>
    <n v="25752"/>
    <n v="10"/>
    <n v="3"/>
  </r>
  <r>
    <s v="PO10215"/>
    <x v="7"/>
    <s v="Gearbox Assembly"/>
    <x v="1"/>
    <s v="Branch F"/>
    <x v="44"/>
    <d v="2025-01-30T00:00:00"/>
    <d v="2025-02-02T00:00:00"/>
    <d v="2025-02-07T00:00:00"/>
    <x v="1"/>
    <n v="184"/>
    <n v="473.61"/>
    <n v="87144.24"/>
    <n v="13"/>
    <n v="3"/>
  </r>
  <r>
    <s v="PO10216"/>
    <x v="4"/>
    <s v="Hydraulic Pump"/>
    <x v="2"/>
    <s v="Branch E"/>
    <x v="42"/>
    <d v="2025-04-19T00:00:00"/>
    <d v="2025-04-24T00:00:00"/>
    <d v="2025-04-25T00:00:00"/>
    <x v="1"/>
    <n v="140"/>
    <n v="602.64"/>
    <n v="84369.600000000006"/>
    <n v="17"/>
    <n v="5"/>
  </r>
  <r>
    <s v="PO10217"/>
    <x v="5"/>
    <s v="Drive Unit"/>
    <x v="2"/>
    <s v="Branch E"/>
    <x v="45"/>
    <d v="2025-05-07T00:00:00"/>
    <d v="2025-05-07T00:00:00"/>
    <d v="2025-05-12T00:00:00"/>
    <x v="2"/>
    <n v="138"/>
    <n v="383.94"/>
    <n v="52983.72"/>
    <n v="11"/>
    <n v="0"/>
  </r>
  <r>
    <s v="PO10218"/>
    <x v="0"/>
    <s v="Drive Unit"/>
    <x v="4"/>
    <s v="Branch F"/>
    <x v="60"/>
    <d v="2025-03-14T00:00:00"/>
    <d v="2025-03-14T00:00:00"/>
    <d v="2025-03-18T00:00:00"/>
    <x v="0"/>
    <n v="121"/>
    <n v="485.87"/>
    <n v="58790.27"/>
    <n v="15"/>
    <n v="0"/>
  </r>
  <r>
    <s v="PO10219"/>
    <x v="4"/>
    <s v="Ball Bearings"/>
    <x v="2"/>
    <s v="Branch D"/>
    <x v="48"/>
    <d v="2025-01-12T00:00:00"/>
    <d v="2025-01-12T00:00:00"/>
    <d v="2025-01-13T00:00:00"/>
    <x v="0"/>
    <n v="16"/>
    <n v="368.79"/>
    <n v="5900.64"/>
    <n v="9"/>
    <n v="0"/>
  </r>
  <r>
    <s v="PO10220"/>
    <x v="3"/>
    <s v="Power Transmission Belt"/>
    <x v="3"/>
    <s v="Branch D"/>
    <x v="1"/>
    <d v="2025-01-12T00:00:00"/>
    <d v="2025-01-13T00:00:00"/>
    <d v="2025-01-15T00:00:00"/>
    <x v="1"/>
    <n v="169"/>
    <n v="831.91"/>
    <n v="140592.79"/>
    <n v="8"/>
    <n v="1"/>
  </r>
  <r>
    <s v="PO10221"/>
    <x v="9"/>
    <s v="Power Transmission Belt"/>
    <x v="2"/>
    <s v="Branch B"/>
    <x v="72"/>
    <d v="2025-05-01T00:00:00"/>
    <d v="2025-05-02T00:00:00"/>
    <d v="2025-05-03T00:00:00"/>
    <x v="1"/>
    <n v="174"/>
    <n v="745.25"/>
    <n v="129673.5"/>
    <n v="10"/>
    <n v="1"/>
  </r>
  <r>
    <s v="PO10222"/>
    <x v="2"/>
    <s v="Control Valve"/>
    <x v="3"/>
    <s v="Branch F"/>
    <x v="56"/>
    <d v="2025-03-19T00:00:00"/>
    <d v="2025-03-21T00:00:00"/>
    <d v="2025-03-23T00:00:00"/>
    <x v="1"/>
    <n v="62"/>
    <n v="712.08"/>
    <n v="44148.959999999999"/>
    <n v="11"/>
    <n v="2"/>
  </r>
  <r>
    <s v="PO10223"/>
    <x v="1"/>
    <s v="Industrial Motor"/>
    <x v="4"/>
    <s v="Branch B"/>
    <x v="13"/>
    <d v="2025-04-14T00:00:00"/>
    <d v="2025-04-15T00:00:00"/>
    <d v="2025-04-20T00:00:00"/>
    <x v="1"/>
    <n v="63"/>
    <n v="221.67"/>
    <n v="13965.21"/>
    <n v="12"/>
    <n v="1"/>
  </r>
  <r>
    <s v="PO10224"/>
    <x v="2"/>
    <s v="Gearbox Assembly"/>
    <x v="1"/>
    <s v="Branch A"/>
    <x v="28"/>
    <d v="2025-05-14T00:00:00"/>
    <d v="2025-05-19T00:00:00"/>
    <d v="2025-05-20T00:00:00"/>
    <x v="2"/>
    <n v="174"/>
    <n v="365.07"/>
    <n v="63522.18"/>
    <n v="19"/>
    <n v="5"/>
  </r>
  <r>
    <s v="PO10225"/>
    <x v="5"/>
    <s v="Gearbox Assembly"/>
    <x v="2"/>
    <s v="Branch B"/>
    <x v="26"/>
    <d v="2025-01-25T00:00:00"/>
    <d v="2025-01-25T00:00:00"/>
    <d v="2025-01-29T00:00:00"/>
    <x v="0"/>
    <n v="16"/>
    <n v="350.89"/>
    <n v="5614.24"/>
    <n v="12"/>
    <n v="0"/>
  </r>
  <r>
    <s v="PO10226"/>
    <x v="5"/>
    <s v="Control Valve"/>
    <x v="1"/>
    <s v="Branch F"/>
    <x v="66"/>
    <d v="2025-03-13T00:00:00"/>
    <d v="2025-03-13T00:00:00"/>
    <d v="2025-03-18T00:00:00"/>
    <x v="3"/>
    <n v="177"/>
    <n v="698.35"/>
    <n v="123607.95"/>
    <n v="7"/>
    <n v="0"/>
  </r>
  <r>
    <s v="PO10227"/>
    <x v="9"/>
    <s v="Automation Sensor"/>
    <x v="0"/>
    <s v="Branch D"/>
    <x v="53"/>
    <d v="2025-03-14T00:00:00"/>
    <d v="2025-03-15T00:00:00"/>
    <d v="2025-03-18T00:00:00"/>
    <x v="1"/>
    <n v="147"/>
    <n v="807.01"/>
    <n v="118630.47"/>
    <n v="7"/>
    <n v="1"/>
  </r>
  <r>
    <s v="PO10228"/>
    <x v="3"/>
    <s v="Industrial Motor"/>
    <x v="4"/>
    <s v="Branch D"/>
    <x v="41"/>
    <d v="2025-01-15T00:00:00"/>
    <d v="2025-01-18T00:00:00"/>
    <d v="2025-01-22T00:00:00"/>
    <x v="1"/>
    <n v="86"/>
    <n v="596.41999999999996"/>
    <n v="51292.12"/>
    <n v="11"/>
    <n v="3"/>
  </r>
  <r>
    <s v="PO10229"/>
    <x v="9"/>
    <s v="Drive Unit"/>
    <x v="2"/>
    <s v="Branch E"/>
    <x v="59"/>
    <d v="2025-02-08T00:00:00"/>
    <d v="2025-02-10T00:00:00"/>
    <d v="2025-02-14T00:00:00"/>
    <x v="1"/>
    <n v="62"/>
    <n v="266.11"/>
    <n v="16498.82"/>
    <n v="17"/>
    <n v="2"/>
  </r>
  <r>
    <s v="PO10230"/>
    <x v="1"/>
    <s v="Hydraulic Pump"/>
    <x v="3"/>
    <s v="Branch C"/>
    <x v="20"/>
    <d v="2025-03-03T00:00:00"/>
    <d v="2025-03-05T00:00:00"/>
    <d v="2025-03-10T00:00:00"/>
    <x v="2"/>
    <n v="67"/>
    <n v="227.92"/>
    <n v="15270.64"/>
    <n v="11"/>
    <n v="2"/>
  </r>
  <r>
    <s v="PO10231"/>
    <x v="6"/>
    <s v="Ball Bearings"/>
    <x v="2"/>
    <s v="Branch B"/>
    <x v="54"/>
    <d v="2025-01-23T00:00:00"/>
    <d v="2025-01-26T00:00:00"/>
    <d v="2025-01-28T00:00:00"/>
    <x v="2"/>
    <n v="101"/>
    <n v="577.52"/>
    <n v="58329.52"/>
    <n v="14"/>
    <n v="3"/>
  </r>
  <r>
    <s v="PO10232"/>
    <x v="1"/>
    <s v="Control Valve"/>
    <x v="2"/>
    <s v="Branch B"/>
    <x v="33"/>
    <d v="2025-04-28T00:00:00"/>
    <d v="2025-04-30T00:00:00"/>
    <d v="2025-05-05T00:00:00"/>
    <x v="1"/>
    <n v="58"/>
    <n v="741.01"/>
    <n v="42978.58"/>
    <n v="17"/>
    <n v="2"/>
  </r>
  <r>
    <s v="PO10233"/>
    <x v="5"/>
    <s v="Gearbox Assembly"/>
    <x v="3"/>
    <s v="Branch B"/>
    <x v="28"/>
    <d v="2025-05-06T00:00:00"/>
    <d v="2025-05-09T00:00:00"/>
    <d v="2025-05-10T00:00:00"/>
    <x v="1"/>
    <n v="198"/>
    <n v="414.9"/>
    <n v="82150.2"/>
    <n v="9"/>
    <n v="3"/>
  </r>
  <r>
    <s v="PO10234"/>
    <x v="8"/>
    <s v="Control Valve"/>
    <x v="4"/>
    <s v="Branch E"/>
    <x v="55"/>
    <d v="2025-03-20T00:00:00"/>
    <d v="2025-03-25T00:00:00"/>
    <d v="2025-03-28T00:00:00"/>
    <x v="1"/>
    <n v="141"/>
    <n v="556.67999999999995"/>
    <n v="78491.88"/>
    <n v="13"/>
    <n v="5"/>
  </r>
  <r>
    <s v="PO10235"/>
    <x v="1"/>
    <s v="Gearbox Assembly"/>
    <x v="4"/>
    <s v="Branch C"/>
    <x v="63"/>
    <d v="2025-05-03T00:00:00"/>
    <d v="2025-05-04T00:00:00"/>
    <d v="2025-05-05T00:00:00"/>
    <x v="1"/>
    <n v="189"/>
    <n v="407.02"/>
    <n v="76926.78"/>
    <n v="11"/>
    <n v="1"/>
  </r>
  <r>
    <s v="PO10236"/>
    <x v="6"/>
    <s v="Automation Sensor"/>
    <x v="4"/>
    <s v="Branch B"/>
    <x v="20"/>
    <d v="2025-02-25T00:00:00"/>
    <d v="2025-02-27T00:00:00"/>
    <d v="2025-03-01T00:00:00"/>
    <x v="1"/>
    <n v="9"/>
    <n v="232.75"/>
    <n v="2094.75"/>
    <n v="5"/>
    <n v="2"/>
  </r>
  <r>
    <s v="PO10237"/>
    <x v="1"/>
    <s v="Control Valve"/>
    <x v="3"/>
    <s v="Branch F"/>
    <x v="49"/>
    <d v="2025-02-03T00:00:00"/>
    <d v="2025-02-03T00:00:00"/>
    <d v="2025-02-07T00:00:00"/>
    <x v="0"/>
    <n v="172"/>
    <n v="802.79"/>
    <n v="138079.88"/>
    <n v="8"/>
    <n v="0"/>
  </r>
  <r>
    <s v="PO10238"/>
    <x v="0"/>
    <s v="Drive Unit"/>
    <x v="1"/>
    <s v="Branch E"/>
    <x v="92"/>
    <d v="2025-04-07T00:00:00"/>
    <d v="2025-04-08T00:00:00"/>
    <d v="2025-04-12T00:00:00"/>
    <x v="2"/>
    <n v="95"/>
    <n v="156.34"/>
    <n v="14852.3"/>
    <n v="15"/>
    <n v="1"/>
  </r>
  <r>
    <s v="PO10239"/>
    <x v="2"/>
    <s v="Ball Bearings"/>
    <x v="3"/>
    <s v="Branch B"/>
    <x v="92"/>
    <d v="2025-03-27T00:00:00"/>
    <d v="2025-03-29T00:00:00"/>
    <d v="2025-03-30T00:00:00"/>
    <x v="1"/>
    <n v="24"/>
    <n v="804.23"/>
    <n v="19301.52"/>
    <n v="5"/>
    <n v="2"/>
  </r>
  <r>
    <s v="PO10240"/>
    <x v="2"/>
    <s v="Drive Unit"/>
    <x v="3"/>
    <s v="Branch A"/>
    <x v="99"/>
    <d v="2025-05-01T00:00:00"/>
    <d v="2025-05-01T00:00:00"/>
    <d v="2025-05-02T00:00:00"/>
    <x v="2"/>
    <n v="134"/>
    <n v="395.77"/>
    <n v="53033.18"/>
    <n v="13"/>
    <n v="0"/>
  </r>
  <r>
    <s v="PO10241"/>
    <x v="0"/>
    <s v="Control Valve"/>
    <x v="2"/>
    <s v="Branch E"/>
    <x v="100"/>
    <d v="2025-01-12T00:00:00"/>
    <d v="2025-01-14T00:00:00"/>
    <d v="2025-01-18T00:00:00"/>
    <x v="2"/>
    <n v="140"/>
    <n v="618.03"/>
    <n v="86524.2"/>
    <n v="13"/>
    <n v="2"/>
  </r>
  <r>
    <s v="PO10242"/>
    <x v="4"/>
    <s v="Industrial Motor"/>
    <x v="1"/>
    <s v="Branch B"/>
    <x v="34"/>
    <d v="2025-04-29T00:00:00"/>
    <d v="2025-05-02T00:00:00"/>
    <d v="2025-05-06T00:00:00"/>
    <x v="1"/>
    <n v="50"/>
    <n v="104.36"/>
    <n v="5218"/>
    <n v="17"/>
    <n v="3"/>
  </r>
  <r>
    <s v="PO10243"/>
    <x v="3"/>
    <s v="Drive Unit"/>
    <x v="0"/>
    <s v="Branch B"/>
    <x v="32"/>
    <d v="2025-04-01T00:00:00"/>
    <d v="2025-04-01T00:00:00"/>
    <d v="2025-04-04T00:00:00"/>
    <x v="3"/>
    <n v="25"/>
    <n v="326.5"/>
    <n v="8162.5"/>
    <n v="11"/>
    <n v="0"/>
  </r>
  <r>
    <s v="PO10244"/>
    <x v="7"/>
    <s v="Ball Bearings"/>
    <x v="2"/>
    <s v="Branch F"/>
    <x v="58"/>
    <d v="2025-04-06T00:00:00"/>
    <d v="2025-04-06T00:00:00"/>
    <d v="2025-04-07T00:00:00"/>
    <x v="2"/>
    <n v="102"/>
    <n v="329.94"/>
    <n v="33653.879999999997"/>
    <n v="6"/>
    <n v="0"/>
  </r>
  <r>
    <s v="PO10245"/>
    <x v="4"/>
    <s v="Ball Bearings"/>
    <x v="1"/>
    <s v="Branch B"/>
    <x v="61"/>
    <d v="2025-01-26T00:00:00"/>
    <d v="2025-01-27T00:00:00"/>
    <d v="2025-01-31T00:00:00"/>
    <x v="1"/>
    <n v="89"/>
    <n v="487.49"/>
    <n v="43386.61"/>
    <n v="5"/>
    <n v="1"/>
  </r>
  <r>
    <s v="PO10246"/>
    <x v="8"/>
    <s v="Ball Bearings"/>
    <x v="1"/>
    <s v="Branch C"/>
    <x v="45"/>
    <d v="2025-05-10T00:00:00"/>
    <d v="2025-05-12T00:00:00"/>
    <d v="2025-05-16T00:00:00"/>
    <x v="1"/>
    <n v="24"/>
    <n v="586.5"/>
    <n v="14076"/>
    <n v="16"/>
    <n v="2"/>
  </r>
  <r>
    <s v="PO10247"/>
    <x v="4"/>
    <s v="Control Valve"/>
    <x v="1"/>
    <s v="Branch E"/>
    <x v="48"/>
    <d v="2025-01-09T00:00:00"/>
    <d v="2025-01-11T00:00:00"/>
    <d v="2025-01-13T00:00:00"/>
    <x v="1"/>
    <n v="187"/>
    <n v="700.45"/>
    <n v="130984.15"/>
    <n v="8"/>
    <n v="2"/>
  </r>
  <r>
    <s v="PO10248"/>
    <x v="9"/>
    <s v="Hydraulic Pump"/>
    <x v="0"/>
    <s v="Branch F"/>
    <x v="14"/>
    <d v="2025-02-12T00:00:00"/>
    <d v="2025-02-17T00:00:00"/>
    <d v="2025-02-21T00:00:00"/>
    <x v="1"/>
    <n v="143"/>
    <n v="291.99"/>
    <n v="41754.57"/>
    <n v="17"/>
    <n v="5"/>
  </r>
  <r>
    <s v="PO10249"/>
    <x v="6"/>
    <s v="Automation Sensor"/>
    <x v="4"/>
    <s v="Branch A"/>
    <x v="35"/>
    <d v="2025-02-17T00:00:00"/>
    <d v="2025-02-17T00:00:00"/>
    <d v="2025-02-21T00:00:00"/>
    <x v="0"/>
    <n v="92"/>
    <n v="520.32000000000005"/>
    <n v="47869.440000000002"/>
    <n v="3"/>
    <n v="0"/>
  </r>
  <r>
    <s v="PO10250"/>
    <x v="3"/>
    <s v="Automation Sensor"/>
    <x v="1"/>
    <s v="Branch F"/>
    <x v="0"/>
    <d v="2025-03-30T00:00:00"/>
    <d v="2025-04-04T00:00:00"/>
    <d v="2025-04-08T00:00:00"/>
    <x v="1"/>
    <n v="96"/>
    <n v="476.79"/>
    <n v="45771.839999999997"/>
    <n v="12"/>
    <n v="5"/>
  </r>
  <r>
    <s v="PO10251"/>
    <x v="4"/>
    <s v="Hydraulic Pump"/>
    <x v="4"/>
    <s v="Branch B"/>
    <x v="36"/>
    <d v="2025-03-29T00:00:00"/>
    <d v="2025-03-30T00:00:00"/>
    <d v="2025-03-31T00:00:00"/>
    <x v="1"/>
    <n v="80"/>
    <n v="681.38"/>
    <n v="54510.400000000001"/>
    <n v="14"/>
    <n v="1"/>
  </r>
  <r>
    <s v="PO10252"/>
    <x v="4"/>
    <s v="Ball Bearings"/>
    <x v="4"/>
    <s v="Branch D"/>
    <x v="47"/>
    <d v="2025-03-04T00:00:00"/>
    <d v="2025-03-09T00:00:00"/>
    <d v="2025-03-11T00:00:00"/>
    <x v="1"/>
    <n v="86"/>
    <n v="316.18"/>
    <n v="27191.48"/>
    <n v="19"/>
    <n v="5"/>
  </r>
  <r>
    <s v="PO10253"/>
    <x v="0"/>
    <s v="Automation Sensor"/>
    <x v="2"/>
    <s v="Branch A"/>
    <x v="31"/>
    <d v="2025-03-03T00:00:00"/>
    <d v="2025-03-03T00:00:00"/>
    <d v="2025-03-04T00:00:00"/>
    <x v="2"/>
    <n v="115"/>
    <n v="389.78"/>
    <n v="44824.7"/>
    <n v="15"/>
    <n v="0"/>
  </r>
  <r>
    <s v="PO10254"/>
    <x v="2"/>
    <s v="Control Valve"/>
    <x v="3"/>
    <s v="Branch D"/>
    <x v="54"/>
    <d v="2025-01-20T00:00:00"/>
    <d v="2025-01-22T00:00:00"/>
    <d v="2025-01-23T00:00:00"/>
    <x v="1"/>
    <n v="88"/>
    <n v="736.2"/>
    <n v="64785.599999999999"/>
    <n v="10"/>
    <n v="2"/>
  </r>
  <r>
    <s v="PO10255"/>
    <x v="9"/>
    <s v="Automation Sensor"/>
    <x v="1"/>
    <s v="Branch B"/>
    <x v="75"/>
    <d v="2025-04-14T00:00:00"/>
    <d v="2025-04-17T00:00:00"/>
    <d v="2025-04-22T00:00:00"/>
    <x v="1"/>
    <n v="67"/>
    <n v="492.59"/>
    <n v="33003.53"/>
    <n v="7"/>
    <n v="3"/>
  </r>
  <r>
    <s v="PO10256"/>
    <x v="8"/>
    <s v="Drive Unit"/>
    <x v="2"/>
    <s v="Branch C"/>
    <x v="46"/>
    <d v="2025-02-11T00:00:00"/>
    <d v="2025-02-11T00:00:00"/>
    <d v="2025-02-15T00:00:00"/>
    <x v="2"/>
    <n v="116"/>
    <n v="245.43"/>
    <n v="28469.88"/>
    <n v="7"/>
    <n v="0"/>
  </r>
  <r>
    <s v="PO10257"/>
    <x v="9"/>
    <s v="Control Valve"/>
    <x v="2"/>
    <s v="Branch D"/>
    <x v="50"/>
    <d v="2025-02-08T00:00:00"/>
    <d v="2025-02-11T00:00:00"/>
    <d v="2025-02-15T00:00:00"/>
    <x v="1"/>
    <n v="55"/>
    <n v="397.31"/>
    <n v="21852.05"/>
    <n v="9"/>
    <n v="3"/>
  </r>
  <r>
    <s v="PO10258"/>
    <x v="6"/>
    <s v="Industrial Motor"/>
    <x v="4"/>
    <s v="Branch C"/>
    <x v="97"/>
    <d v="2025-02-24T00:00:00"/>
    <d v="2025-02-25T00:00:00"/>
    <d v="2025-02-28T00:00:00"/>
    <x v="1"/>
    <n v="115"/>
    <n v="695.92"/>
    <n v="80030.8"/>
    <n v="13"/>
    <n v="1"/>
  </r>
  <r>
    <s v="PO10259"/>
    <x v="8"/>
    <s v="Drive Unit"/>
    <x v="0"/>
    <s v="Branch B"/>
    <x v="77"/>
    <d v="2025-04-02T00:00:00"/>
    <d v="2025-04-02T00:00:00"/>
    <d v="2025-04-06T00:00:00"/>
    <x v="2"/>
    <n v="106"/>
    <n v="823.89"/>
    <n v="87332.34"/>
    <n v="14"/>
    <n v="0"/>
  </r>
  <r>
    <s v="PO10260"/>
    <x v="0"/>
    <s v="Industrial Motor"/>
    <x v="0"/>
    <s v="Branch A"/>
    <x v="101"/>
    <d v="2025-02-20T00:00:00"/>
    <d v="2025-02-20T00:00:00"/>
    <d v="2025-02-24T00:00:00"/>
    <x v="2"/>
    <n v="149"/>
    <n v="181.83"/>
    <n v="27092.67"/>
    <n v="9"/>
    <n v="0"/>
  </r>
  <r>
    <s v="PO10261"/>
    <x v="4"/>
    <s v="Automation Sensor"/>
    <x v="3"/>
    <s v="Branch B"/>
    <x v="73"/>
    <d v="2025-04-14T00:00:00"/>
    <d v="2025-04-17T00:00:00"/>
    <d v="2025-04-19T00:00:00"/>
    <x v="1"/>
    <n v="79"/>
    <n v="709.12"/>
    <n v="56020.480000000003"/>
    <n v="13"/>
    <n v="3"/>
  </r>
  <r>
    <s v="PO10262"/>
    <x v="6"/>
    <s v="Drive Unit"/>
    <x v="0"/>
    <s v="Branch D"/>
    <x v="0"/>
    <d v="2025-03-30T00:00:00"/>
    <d v="2025-03-30T00:00:00"/>
    <d v="2025-04-02T00:00:00"/>
    <x v="0"/>
    <n v="101"/>
    <n v="76.760000000000005"/>
    <n v="7752.76"/>
    <n v="7"/>
    <n v="0"/>
  </r>
  <r>
    <s v="PO10263"/>
    <x v="0"/>
    <s v="Hydraulic Pump"/>
    <x v="2"/>
    <s v="Branch B"/>
    <x v="56"/>
    <d v="2025-03-21T00:00:00"/>
    <d v="2025-03-26T00:00:00"/>
    <d v="2025-03-30T00:00:00"/>
    <x v="1"/>
    <n v="97"/>
    <n v="600.86"/>
    <n v="58283.42"/>
    <n v="16"/>
    <n v="5"/>
  </r>
  <r>
    <s v="PO10264"/>
    <x v="3"/>
    <s v="Power Transmission Belt"/>
    <x v="3"/>
    <s v="Branch A"/>
    <x v="5"/>
    <d v="2025-04-08T00:00:00"/>
    <d v="2025-04-08T00:00:00"/>
    <d v="2025-04-10T00:00:00"/>
    <x v="0"/>
    <n v="170"/>
    <n v="580.69000000000005"/>
    <n v="98717.3"/>
    <n v="13"/>
    <n v="0"/>
  </r>
  <r>
    <s v="PO10265"/>
    <x v="6"/>
    <s v="Industrial Motor"/>
    <x v="4"/>
    <s v="Branch A"/>
    <x v="64"/>
    <d v="2025-01-06T00:00:00"/>
    <d v="2025-01-06T00:00:00"/>
    <d v="2025-01-08T00:00:00"/>
    <x v="0"/>
    <n v="105"/>
    <n v="401.66"/>
    <n v="42174.3"/>
    <n v="4"/>
    <n v="0"/>
  </r>
  <r>
    <s v="PO10266"/>
    <x v="8"/>
    <s v="Power Transmission Belt"/>
    <x v="3"/>
    <s v="Branch B"/>
    <x v="98"/>
    <d v="2025-03-07T00:00:00"/>
    <d v="2025-03-07T00:00:00"/>
    <d v="2025-03-11T00:00:00"/>
    <x v="2"/>
    <n v="191"/>
    <n v="133.30000000000001"/>
    <n v="25460.3"/>
    <n v="4"/>
    <n v="0"/>
  </r>
  <r>
    <s v="PO10267"/>
    <x v="4"/>
    <s v="Control Valve"/>
    <x v="2"/>
    <s v="Branch F"/>
    <x v="53"/>
    <d v="2025-03-18T00:00:00"/>
    <d v="2025-03-18T00:00:00"/>
    <d v="2025-03-22T00:00:00"/>
    <x v="0"/>
    <n v="183"/>
    <n v="392.79"/>
    <n v="71880.570000000007"/>
    <n v="10"/>
    <n v="0"/>
  </r>
  <r>
    <s v="PO10268"/>
    <x v="5"/>
    <s v="Industrial Motor"/>
    <x v="0"/>
    <s v="Branch B"/>
    <x v="102"/>
    <d v="2025-01-18T00:00:00"/>
    <d v="2025-01-23T00:00:00"/>
    <d v="2025-01-26T00:00:00"/>
    <x v="1"/>
    <n v="178"/>
    <n v="683.04"/>
    <n v="121581.12"/>
    <n v="8"/>
    <n v="5"/>
  </r>
  <r>
    <s v="PO10269"/>
    <x v="9"/>
    <s v="Automation Sensor"/>
    <x v="3"/>
    <s v="Branch A"/>
    <x v="97"/>
    <d v="2025-02-23T00:00:00"/>
    <d v="2025-02-24T00:00:00"/>
    <d v="2025-02-28T00:00:00"/>
    <x v="1"/>
    <n v="108"/>
    <n v="540.85"/>
    <n v="58411.8"/>
    <n v="12"/>
    <n v="1"/>
  </r>
  <r>
    <s v="PO10270"/>
    <x v="8"/>
    <s v="Hydraulic Pump"/>
    <x v="0"/>
    <s v="Branch A"/>
    <x v="22"/>
    <d v="2025-04-17T00:00:00"/>
    <d v="2025-04-17T00:00:00"/>
    <d v="2025-04-21T00:00:00"/>
    <x v="3"/>
    <n v="185"/>
    <n v="194.35"/>
    <n v="35954.75"/>
    <n v="12"/>
    <n v="0"/>
  </r>
  <r>
    <s v="PO10271"/>
    <x v="7"/>
    <s v="Power Transmission Belt"/>
    <x v="0"/>
    <s v="Branch D"/>
    <x v="33"/>
    <d v="2025-04-24T00:00:00"/>
    <d v="2025-04-24T00:00:00"/>
    <d v="2025-04-27T00:00:00"/>
    <x v="2"/>
    <n v="34"/>
    <n v="234.07"/>
    <n v="7958.38"/>
    <n v="11"/>
    <n v="0"/>
  </r>
  <r>
    <s v="PO10272"/>
    <x v="8"/>
    <s v="Hydraulic Pump"/>
    <x v="1"/>
    <s v="Branch C"/>
    <x v="67"/>
    <d v="2025-03-29T00:00:00"/>
    <d v="2025-03-31T00:00:00"/>
    <d v="2025-04-01T00:00:00"/>
    <x v="1"/>
    <n v="122"/>
    <n v="530.5"/>
    <n v="64721"/>
    <n v="11"/>
    <n v="2"/>
  </r>
  <r>
    <s v="PO10273"/>
    <x v="3"/>
    <s v="Industrial Motor"/>
    <x v="0"/>
    <s v="Branch D"/>
    <x v="82"/>
    <d v="2025-01-22T00:00:00"/>
    <d v="2025-01-22T00:00:00"/>
    <d v="2025-01-23T00:00:00"/>
    <x v="0"/>
    <n v="41"/>
    <n v="441.54"/>
    <n v="18103.14"/>
    <n v="6"/>
    <n v="0"/>
  </r>
  <r>
    <s v="PO10274"/>
    <x v="9"/>
    <s v="Industrial Motor"/>
    <x v="3"/>
    <s v="Branch C"/>
    <x v="103"/>
    <d v="2025-03-01T00:00:00"/>
    <d v="2025-03-02T00:00:00"/>
    <d v="2025-03-07T00:00:00"/>
    <x v="1"/>
    <n v="170"/>
    <n v="792.13"/>
    <n v="134662.1"/>
    <n v="6"/>
    <n v="1"/>
  </r>
  <r>
    <s v="PO10275"/>
    <x v="5"/>
    <s v="Automation Sensor"/>
    <x v="0"/>
    <s v="Branch E"/>
    <x v="93"/>
    <d v="2025-01-23T00:00:00"/>
    <d v="2025-01-23T00:00:00"/>
    <d v="2025-01-27T00:00:00"/>
    <x v="0"/>
    <n v="7"/>
    <n v="419.65"/>
    <n v="2937.55"/>
    <n v="5"/>
    <n v="0"/>
  </r>
  <r>
    <s v="PO10276"/>
    <x v="4"/>
    <s v="Ball Bearings"/>
    <x v="1"/>
    <s v="Branch C"/>
    <x v="16"/>
    <d v="2025-04-04T00:00:00"/>
    <d v="2025-04-05T00:00:00"/>
    <d v="2025-04-09T00:00:00"/>
    <x v="1"/>
    <n v="118"/>
    <n v="423.06"/>
    <n v="49921.08"/>
    <n v="11"/>
    <n v="1"/>
  </r>
  <r>
    <s v="PO10277"/>
    <x v="7"/>
    <s v="Hydraulic Pump"/>
    <x v="0"/>
    <s v="Branch A"/>
    <x v="1"/>
    <d v="2025-01-12T00:00:00"/>
    <d v="2025-01-12T00:00:00"/>
    <d v="2025-01-17T00:00:00"/>
    <x v="2"/>
    <n v="122"/>
    <n v="487.32"/>
    <n v="59453.04"/>
    <n v="7"/>
    <n v="0"/>
  </r>
  <r>
    <s v="PO10278"/>
    <x v="7"/>
    <s v="Gearbox Assembly"/>
    <x v="3"/>
    <s v="Branch A"/>
    <x v="46"/>
    <d v="2025-02-19T00:00:00"/>
    <d v="2025-02-21T00:00:00"/>
    <d v="2025-02-24T00:00:00"/>
    <x v="1"/>
    <n v="198"/>
    <n v="49.74"/>
    <n v="9848.52"/>
    <n v="17"/>
    <n v="2"/>
  </r>
  <r>
    <s v="PO10279"/>
    <x v="1"/>
    <s v="Hydraulic Pump"/>
    <x v="3"/>
    <s v="Branch A"/>
    <x v="22"/>
    <d v="2025-04-18T00:00:00"/>
    <d v="2025-04-23T00:00:00"/>
    <d v="2025-04-25T00:00:00"/>
    <x v="1"/>
    <n v="13"/>
    <n v="390.53"/>
    <n v="5076.8900000000003"/>
    <n v="18"/>
    <n v="5"/>
  </r>
  <r>
    <s v="PO10280"/>
    <x v="9"/>
    <s v="Industrial Motor"/>
    <x v="1"/>
    <s v="Branch B"/>
    <x v="75"/>
    <d v="2025-04-25T00:00:00"/>
    <d v="2025-04-25T00:00:00"/>
    <d v="2025-04-27T00:00:00"/>
    <x v="3"/>
    <n v="161"/>
    <n v="543.36"/>
    <n v="87480.960000000006"/>
    <n v="15"/>
    <n v="0"/>
  </r>
  <r>
    <s v="PO10281"/>
    <x v="1"/>
    <s v="Control Valve"/>
    <x v="4"/>
    <s v="Branch E"/>
    <x v="18"/>
    <d v="2025-04-17T00:00:00"/>
    <d v="2025-04-19T00:00:00"/>
    <d v="2025-04-22T00:00:00"/>
    <x v="1"/>
    <n v="157"/>
    <n v="464.87"/>
    <n v="72984.59"/>
    <n v="5"/>
    <n v="2"/>
  </r>
  <r>
    <s v="PO10282"/>
    <x v="2"/>
    <s v="Control Valve"/>
    <x v="1"/>
    <s v="Branch F"/>
    <x v="46"/>
    <d v="2025-02-15T00:00:00"/>
    <d v="2025-02-18T00:00:00"/>
    <d v="2025-02-19T00:00:00"/>
    <x v="2"/>
    <n v="197"/>
    <n v="671.05"/>
    <n v="132196.85"/>
    <n v="14"/>
    <n v="3"/>
  </r>
  <r>
    <s v="PO10283"/>
    <x v="3"/>
    <s v="Drive Unit"/>
    <x v="1"/>
    <s v="Branch E"/>
    <x v="69"/>
    <d v="2025-04-26T00:00:00"/>
    <d v="2025-04-26T00:00:00"/>
    <d v="2025-04-28T00:00:00"/>
    <x v="3"/>
    <n v="199"/>
    <n v="719.37"/>
    <n v="143154.63"/>
    <n v="5"/>
    <n v="0"/>
  </r>
  <r>
    <s v="PO10284"/>
    <x v="4"/>
    <s v="Automation Sensor"/>
    <x v="0"/>
    <s v="Branch F"/>
    <x v="11"/>
    <d v="2025-03-29T00:00:00"/>
    <d v="2025-04-01T00:00:00"/>
    <d v="2025-04-05T00:00:00"/>
    <x v="1"/>
    <n v="24"/>
    <n v="544.08000000000004"/>
    <n v="13057.92"/>
    <n v="10"/>
    <n v="3"/>
  </r>
  <r>
    <s v="PO10285"/>
    <x v="4"/>
    <s v="Drive Unit"/>
    <x v="4"/>
    <s v="Branch A"/>
    <x v="89"/>
    <d v="2025-02-19T00:00:00"/>
    <d v="2025-02-19T00:00:00"/>
    <d v="2025-02-23T00:00:00"/>
    <x v="3"/>
    <n v="5"/>
    <n v="740.54"/>
    <n v="3702.7"/>
    <n v="14"/>
    <n v="0"/>
  </r>
  <r>
    <s v="PO10286"/>
    <x v="1"/>
    <s v="Control Valve"/>
    <x v="4"/>
    <s v="Branch E"/>
    <x v="88"/>
    <d v="2025-04-23T00:00:00"/>
    <d v="2025-04-24T00:00:00"/>
    <d v="2025-04-26T00:00:00"/>
    <x v="1"/>
    <n v="59"/>
    <n v="428.09"/>
    <n v="25257.31"/>
    <n v="12"/>
    <n v="1"/>
  </r>
  <r>
    <s v="PO10287"/>
    <x v="2"/>
    <s v="Hydraulic Pump"/>
    <x v="3"/>
    <s v="Branch A"/>
    <x v="79"/>
    <d v="2025-03-20T00:00:00"/>
    <d v="2025-03-22T00:00:00"/>
    <d v="2025-03-26T00:00:00"/>
    <x v="1"/>
    <n v="179"/>
    <n v="651.48"/>
    <n v="116614.92"/>
    <n v="7"/>
    <n v="2"/>
  </r>
  <r>
    <s v="PO10288"/>
    <x v="9"/>
    <s v="Control Valve"/>
    <x v="1"/>
    <s v="Branch C"/>
    <x v="82"/>
    <d v="2025-01-21T00:00:00"/>
    <d v="2025-01-22T00:00:00"/>
    <d v="2025-01-26T00:00:00"/>
    <x v="2"/>
    <n v="114"/>
    <n v="183.94"/>
    <n v="20969.16"/>
    <n v="6"/>
    <n v="1"/>
  </r>
  <r>
    <s v="PO10289"/>
    <x v="3"/>
    <s v="Control Valve"/>
    <x v="1"/>
    <s v="Branch D"/>
    <x v="54"/>
    <d v="2025-01-25T00:00:00"/>
    <d v="2025-01-25T00:00:00"/>
    <d v="2025-01-28T00:00:00"/>
    <x v="0"/>
    <n v="171"/>
    <n v="153.21"/>
    <n v="26198.91"/>
    <n v="13"/>
    <n v="0"/>
  </r>
  <r>
    <s v="PO10290"/>
    <x v="6"/>
    <s v="Gearbox Assembly"/>
    <x v="0"/>
    <s v="Branch F"/>
    <x v="16"/>
    <d v="2025-03-29T00:00:00"/>
    <d v="2025-04-01T00:00:00"/>
    <d v="2025-04-02T00:00:00"/>
    <x v="2"/>
    <n v="127"/>
    <n v="80.08"/>
    <n v="10170.16"/>
    <n v="7"/>
    <n v="3"/>
  </r>
  <r>
    <s v="PO10291"/>
    <x v="7"/>
    <s v="Hydraulic Pump"/>
    <x v="1"/>
    <s v="Branch D"/>
    <x v="74"/>
    <d v="2025-03-01T00:00:00"/>
    <d v="2025-03-01T00:00:00"/>
    <d v="2025-03-04T00:00:00"/>
    <x v="0"/>
    <n v="113"/>
    <n v="594.52"/>
    <n v="67180.759999999995"/>
    <n v="3"/>
    <n v="0"/>
  </r>
  <r>
    <s v="PO10292"/>
    <x v="9"/>
    <s v="Automation Sensor"/>
    <x v="1"/>
    <s v="Branch F"/>
    <x v="54"/>
    <d v="2025-01-26T00:00:00"/>
    <d v="2025-01-31T00:00:00"/>
    <d v="2025-02-01T00:00:00"/>
    <x v="2"/>
    <n v="99"/>
    <n v="750.63"/>
    <n v="74312.37"/>
    <n v="19"/>
    <n v="5"/>
  </r>
  <r>
    <s v="PO10293"/>
    <x v="5"/>
    <s v="Industrial Motor"/>
    <x v="3"/>
    <s v="Branch E"/>
    <x v="39"/>
    <d v="2025-04-02T00:00:00"/>
    <d v="2025-04-02T00:00:00"/>
    <d v="2025-04-07T00:00:00"/>
    <x v="0"/>
    <n v="47"/>
    <n v="382.48"/>
    <n v="17976.560000000001"/>
    <n v="5"/>
    <n v="0"/>
  </r>
  <r>
    <s v="PO10294"/>
    <x v="4"/>
    <s v="Automation Sensor"/>
    <x v="4"/>
    <s v="Branch D"/>
    <x v="12"/>
    <d v="2025-04-08T00:00:00"/>
    <d v="2025-04-13T00:00:00"/>
    <d v="2025-04-15T00:00:00"/>
    <x v="2"/>
    <n v="30"/>
    <n v="131.91"/>
    <n v="3957.3"/>
    <n v="15"/>
    <n v="5"/>
  </r>
  <r>
    <s v="PO10295"/>
    <x v="6"/>
    <s v="Control Valve"/>
    <x v="2"/>
    <s v="Branch F"/>
    <x v="62"/>
    <d v="2025-02-25T00:00:00"/>
    <d v="2025-02-25T00:00:00"/>
    <d v="2025-02-27T00:00:00"/>
    <x v="3"/>
    <n v="68"/>
    <n v="477.09"/>
    <n v="32442.12"/>
    <n v="15"/>
    <n v="0"/>
  </r>
  <r>
    <s v="PO10296"/>
    <x v="5"/>
    <s v="Drive Unit"/>
    <x v="3"/>
    <s v="Branch A"/>
    <x v="63"/>
    <d v="2025-04-30T00:00:00"/>
    <d v="2025-04-30T00:00:00"/>
    <d v="2025-05-05T00:00:00"/>
    <x v="0"/>
    <n v="80"/>
    <n v="554.54999999999995"/>
    <n v="44364"/>
    <n v="7"/>
    <n v="0"/>
  </r>
  <r>
    <s v="PO10297"/>
    <x v="1"/>
    <s v="Industrial Motor"/>
    <x v="3"/>
    <s v="Branch E"/>
    <x v="14"/>
    <d v="2025-02-10T00:00:00"/>
    <d v="2025-02-13T00:00:00"/>
    <d v="2025-02-18T00:00:00"/>
    <x v="2"/>
    <n v="8"/>
    <n v="839.05"/>
    <n v="6712.4"/>
    <n v="13"/>
    <n v="3"/>
  </r>
  <r>
    <s v="PO10298"/>
    <x v="4"/>
    <s v="Ball Bearings"/>
    <x v="4"/>
    <s v="Branch B"/>
    <x v="80"/>
    <d v="2025-03-03T00:00:00"/>
    <d v="2025-03-05T00:00:00"/>
    <d v="2025-03-07T00:00:00"/>
    <x v="1"/>
    <n v="23"/>
    <n v="28.94"/>
    <n v="665.62"/>
    <n v="10"/>
    <n v="2"/>
  </r>
  <r>
    <s v="PO10299"/>
    <x v="3"/>
    <s v="Automation Sensor"/>
    <x v="3"/>
    <s v="Branch A"/>
    <x v="24"/>
    <d v="2025-01-09T00:00:00"/>
    <d v="2025-01-14T00:00:00"/>
    <d v="2025-01-18T00:00:00"/>
    <x v="1"/>
    <n v="165"/>
    <n v="610.04999999999995"/>
    <n v="100658.25"/>
    <n v="8"/>
    <n v="5"/>
  </r>
  <r>
    <s v="PO10300"/>
    <x v="0"/>
    <s v="Gearbox Assembly"/>
    <x v="1"/>
    <s v="Branch E"/>
    <x v="0"/>
    <d v="2025-04-03T00:00:00"/>
    <d v="2025-04-05T00:00:00"/>
    <d v="2025-04-10T00:00:00"/>
    <x v="2"/>
    <n v="26"/>
    <n v="273.77"/>
    <n v="7118.02"/>
    <n v="13"/>
    <n v="2"/>
  </r>
  <r>
    <s v="PO10301"/>
    <x v="5"/>
    <s v="Ball Bearings"/>
    <x v="1"/>
    <s v="Branch A"/>
    <x v="101"/>
    <d v="2025-02-20T00:00:00"/>
    <d v="2025-02-22T00:00:00"/>
    <d v="2025-02-23T00:00:00"/>
    <x v="1"/>
    <n v="116"/>
    <n v="624.52"/>
    <n v="72444.320000000007"/>
    <n v="11"/>
    <n v="2"/>
  </r>
  <r>
    <s v="PO10302"/>
    <x v="9"/>
    <s v="Hydraulic Pump"/>
    <x v="2"/>
    <s v="Branch F"/>
    <x v="4"/>
    <d v="2025-05-08T00:00:00"/>
    <d v="2025-05-08T00:00:00"/>
    <d v="2025-05-12T00:00:00"/>
    <x v="0"/>
    <n v="194"/>
    <n v="564.47"/>
    <n v="109507.18"/>
    <n v="9"/>
    <n v="0"/>
  </r>
  <r>
    <s v="PO10303"/>
    <x v="8"/>
    <s v="Industrial Motor"/>
    <x v="4"/>
    <s v="Branch B"/>
    <x v="93"/>
    <d v="2025-02-01T00:00:00"/>
    <d v="2025-02-01T00:00:00"/>
    <d v="2025-02-03T00:00:00"/>
    <x v="3"/>
    <n v="138"/>
    <n v="446.88"/>
    <n v="61669.440000000002"/>
    <n v="14"/>
    <n v="0"/>
  </r>
  <r>
    <s v="PO10304"/>
    <x v="2"/>
    <s v="Power Transmission Belt"/>
    <x v="3"/>
    <s v="Branch C"/>
    <x v="104"/>
    <d v="2025-04-21T00:00:00"/>
    <d v="2025-04-26T00:00:00"/>
    <d v="2025-04-29T00:00:00"/>
    <x v="1"/>
    <n v="35"/>
    <n v="659.14"/>
    <n v="23069.9"/>
    <n v="20"/>
    <n v="5"/>
  </r>
  <r>
    <s v="PO10305"/>
    <x v="7"/>
    <s v="Industrial Motor"/>
    <x v="4"/>
    <s v="Branch B"/>
    <x v="105"/>
    <d v="2025-03-13T00:00:00"/>
    <d v="2025-03-13T00:00:00"/>
    <d v="2025-03-18T00:00:00"/>
    <x v="0"/>
    <n v="135"/>
    <n v="315.7"/>
    <n v="42619.5"/>
    <n v="4"/>
    <n v="0"/>
  </r>
  <r>
    <s v="PO10306"/>
    <x v="2"/>
    <s v="Gearbox Assembly"/>
    <x v="2"/>
    <s v="Branch D"/>
    <x v="50"/>
    <d v="2025-02-17T00:00:00"/>
    <d v="2025-02-17T00:00:00"/>
    <d v="2025-02-22T00:00:00"/>
    <x v="0"/>
    <n v="135"/>
    <n v="17.14"/>
    <n v="2313.9"/>
    <n v="15"/>
    <n v="0"/>
  </r>
  <r>
    <s v="PO10307"/>
    <x v="3"/>
    <s v="Gearbox Assembly"/>
    <x v="4"/>
    <s v="Branch B"/>
    <x v="31"/>
    <d v="2025-02-25T00:00:00"/>
    <d v="2025-02-25T00:00:00"/>
    <d v="2025-02-27T00:00:00"/>
    <x v="0"/>
    <n v="187"/>
    <n v="633.46"/>
    <n v="118457.02"/>
    <n v="9"/>
    <n v="0"/>
  </r>
  <r>
    <s v="PO10308"/>
    <x v="2"/>
    <s v="Industrial Motor"/>
    <x v="1"/>
    <s v="Branch E"/>
    <x v="80"/>
    <d v="2025-03-09T00:00:00"/>
    <d v="2025-03-09T00:00:00"/>
    <d v="2025-03-12T00:00:00"/>
    <x v="0"/>
    <n v="35"/>
    <n v="434.2"/>
    <n v="15197"/>
    <n v="14"/>
    <n v="0"/>
  </r>
  <r>
    <s v="PO10309"/>
    <x v="0"/>
    <s v="Drive Unit"/>
    <x v="2"/>
    <s v="Branch C"/>
    <x v="24"/>
    <d v="2025-01-15T00:00:00"/>
    <d v="2025-01-15T00:00:00"/>
    <d v="2025-01-19T00:00:00"/>
    <x v="3"/>
    <n v="84"/>
    <n v="288.3"/>
    <n v="24217.200000000001"/>
    <n v="9"/>
    <n v="0"/>
  </r>
  <r>
    <s v="PO10310"/>
    <x v="6"/>
    <s v="Drive Unit"/>
    <x v="1"/>
    <s v="Branch F"/>
    <x v="49"/>
    <d v="2025-02-02T00:00:00"/>
    <d v="2025-02-04T00:00:00"/>
    <d v="2025-02-07T00:00:00"/>
    <x v="1"/>
    <n v="67"/>
    <n v="402.38"/>
    <n v="26959.46"/>
    <n v="9"/>
    <n v="2"/>
  </r>
  <r>
    <s v="PO10311"/>
    <x v="0"/>
    <s v="Power Transmission Belt"/>
    <x v="2"/>
    <s v="Branch C"/>
    <x v="45"/>
    <d v="2025-05-07T00:00:00"/>
    <d v="2025-05-12T00:00:00"/>
    <d v="2025-05-14T00:00:00"/>
    <x v="2"/>
    <n v="109"/>
    <n v="34.97"/>
    <n v="3811.73"/>
    <n v="16"/>
    <n v="5"/>
  </r>
  <r>
    <s v="PO10312"/>
    <x v="5"/>
    <s v="Gearbox Assembly"/>
    <x v="3"/>
    <s v="Branch D"/>
    <x v="100"/>
    <d v="2025-01-16T00:00:00"/>
    <d v="2025-01-19T00:00:00"/>
    <d v="2025-01-23T00:00:00"/>
    <x v="1"/>
    <n v="191"/>
    <n v="271.77"/>
    <n v="51908.07"/>
    <n v="18"/>
    <n v="3"/>
  </r>
  <r>
    <s v="PO10313"/>
    <x v="0"/>
    <s v="Automation Sensor"/>
    <x v="4"/>
    <s v="Branch D"/>
    <x v="86"/>
    <d v="2025-01-13T00:00:00"/>
    <d v="2025-01-16T00:00:00"/>
    <d v="2025-01-19T00:00:00"/>
    <x v="2"/>
    <n v="64"/>
    <n v="764.24"/>
    <n v="48911.360000000001"/>
    <n v="8"/>
    <n v="3"/>
  </r>
  <r>
    <s v="PO10314"/>
    <x v="4"/>
    <s v="Ball Bearings"/>
    <x v="3"/>
    <s v="Branch F"/>
    <x v="104"/>
    <d v="2025-04-10T00:00:00"/>
    <d v="2025-04-12T00:00:00"/>
    <d v="2025-04-13T00:00:00"/>
    <x v="1"/>
    <n v="168"/>
    <n v="699.67"/>
    <n v="117544.56"/>
    <n v="6"/>
    <n v="2"/>
  </r>
  <r>
    <s v="PO10315"/>
    <x v="1"/>
    <s v="Power Transmission Belt"/>
    <x v="3"/>
    <s v="Branch C"/>
    <x v="25"/>
    <d v="2025-01-23T00:00:00"/>
    <d v="2025-01-23T00:00:00"/>
    <d v="2025-01-26T00:00:00"/>
    <x v="3"/>
    <n v="105"/>
    <n v="600.11"/>
    <n v="63011.55"/>
    <n v="6"/>
    <n v="0"/>
  </r>
  <r>
    <s v="PO10316"/>
    <x v="1"/>
    <s v="Automation Sensor"/>
    <x v="2"/>
    <s v="Branch E"/>
    <x v="17"/>
    <d v="2025-02-03T00:00:00"/>
    <d v="2025-02-03T00:00:00"/>
    <d v="2025-02-05T00:00:00"/>
    <x v="2"/>
    <n v="47"/>
    <n v="390.39"/>
    <n v="18348.330000000002"/>
    <n v="4"/>
    <n v="0"/>
  </r>
  <r>
    <s v="PO10317"/>
    <x v="8"/>
    <s v="Ball Bearings"/>
    <x v="1"/>
    <s v="Branch C"/>
    <x v="78"/>
    <d v="2025-03-02T00:00:00"/>
    <d v="2025-03-02T00:00:00"/>
    <d v="2025-03-06T00:00:00"/>
    <x v="3"/>
    <n v="35"/>
    <n v="90.5"/>
    <n v="3167.5"/>
    <n v="15"/>
    <n v="0"/>
  </r>
  <r>
    <s v="PO10318"/>
    <x v="8"/>
    <s v="Control Valve"/>
    <x v="1"/>
    <s v="Branch A"/>
    <x v="40"/>
    <d v="2025-01-23T00:00:00"/>
    <d v="2025-01-26T00:00:00"/>
    <d v="2025-01-28T00:00:00"/>
    <x v="1"/>
    <n v="106"/>
    <n v="443.74"/>
    <n v="47036.44"/>
    <n v="7"/>
    <n v="3"/>
  </r>
  <r>
    <s v="PO10319"/>
    <x v="9"/>
    <s v="Hydraulic Pump"/>
    <x v="2"/>
    <s v="Branch A"/>
    <x v="19"/>
    <d v="2025-03-03T00:00:00"/>
    <d v="2025-03-05T00:00:00"/>
    <d v="2025-03-10T00:00:00"/>
    <x v="1"/>
    <n v="123"/>
    <n v="100.09"/>
    <n v="12311.07"/>
    <n v="12"/>
    <n v="2"/>
  </r>
  <r>
    <s v="PO10320"/>
    <x v="4"/>
    <s v="Control Valve"/>
    <x v="2"/>
    <s v="Branch A"/>
    <x v="6"/>
    <d v="2025-05-02T00:00:00"/>
    <d v="2025-05-02T00:00:00"/>
    <d v="2025-05-04T00:00:00"/>
    <x v="0"/>
    <n v="100"/>
    <n v="588.04999999999995"/>
    <n v="58805"/>
    <n v="15"/>
    <n v="0"/>
  </r>
  <r>
    <s v="PO10321"/>
    <x v="1"/>
    <s v="Hydraulic Pump"/>
    <x v="2"/>
    <s v="Branch D"/>
    <x v="106"/>
    <d v="2025-01-15T00:00:00"/>
    <d v="2025-01-18T00:00:00"/>
    <d v="2025-01-22T00:00:00"/>
    <x v="1"/>
    <n v="28"/>
    <n v="770.74"/>
    <n v="21580.720000000001"/>
    <n v="9"/>
    <n v="3"/>
  </r>
  <r>
    <s v="PO10322"/>
    <x v="3"/>
    <s v="Automation Sensor"/>
    <x v="1"/>
    <s v="Branch C"/>
    <x v="41"/>
    <d v="2025-01-12T00:00:00"/>
    <d v="2025-01-14T00:00:00"/>
    <d v="2025-01-18T00:00:00"/>
    <x v="1"/>
    <n v="106"/>
    <n v="429.27"/>
    <n v="45502.62"/>
    <n v="7"/>
    <n v="2"/>
  </r>
  <r>
    <s v="PO10323"/>
    <x v="6"/>
    <s v="Gearbox Assembly"/>
    <x v="4"/>
    <s v="Branch D"/>
    <x v="107"/>
    <d v="2025-02-02T00:00:00"/>
    <d v="2025-02-02T00:00:00"/>
    <d v="2025-02-05T00:00:00"/>
    <x v="3"/>
    <n v="13"/>
    <n v="527.78"/>
    <n v="6861.14"/>
    <n v="5"/>
    <n v="0"/>
  </r>
  <r>
    <s v="PO10324"/>
    <x v="5"/>
    <s v="Gearbox Assembly"/>
    <x v="0"/>
    <s v="Branch A"/>
    <x v="20"/>
    <d v="2025-03-05T00:00:00"/>
    <d v="2025-03-06T00:00:00"/>
    <d v="2025-03-07T00:00:00"/>
    <x v="2"/>
    <n v="103"/>
    <n v="129.59"/>
    <n v="13347.77"/>
    <n v="12"/>
    <n v="1"/>
  </r>
  <r>
    <s v="PO10325"/>
    <x v="6"/>
    <s v="Power Transmission Belt"/>
    <x v="3"/>
    <s v="Branch C"/>
    <x v="47"/>
    <d v="2025-03-05T00:00:00"/>
    <d v="2025-03-08T00:00:00"/>
    <d v="2025-03-11T00:00:00"/>
    <x v="1"/>
    <n v="129"/>
    <n v="302.27"/>
    <n v="38992.83"/>
    <n v="18"/>
    <n v="3"/>
  </r>
  <r>
    <s v="PO10326"/>
    <x v="7"/>
    <s v="Power Transmission Belt"/>
    <x v="0"/>
    <s v="Branch B"/>
    <x v="59"/>
    <d v="2025-01-27T00:00:00"/>
    <d v="2025-01-27T00:00:00"/>
    <d v="2025-02-01T00:00:00"/>
    <x v="2"/>
    <n v="76"/>
    <n v="63.92"/>
    <n v="4857.92"/>
    <n v="3"/>
    <n v="0"/>
  </r>
  <r>
    <s v="PO10327"/>
    <x v="5"/>
    <s v="Automation Sensor"/>
    <x v="4"/>
    <s v="Branch B"/>
    <x v="27"/>
    <d v="2025-01-25T00:00:00"/>
    <d v="2025-01-25T00:00:00"/>
    <d v="2025-01-27T00:00:00"/>
    <x v="3"/>
    <n v="193"/>
    <n v="61.68"/>
    <n v="11904.24"/>
    <n v="4"/>
    <n v="0"/>
  </r>
  <r>
    <s v="PO10328"/>
    <x v="6"/>
    <s v="Ball Bearings"/>
    <x v="4"/>
    <s v="Branch E"/>
    <x v="108"/>
    <d v="2025-01-29T00:00:00"/>
    <d v="2025-01-31T00:00:00"/>
    <d v="2025-02-03T00:00:00"/>
    <x v="1"/>
    <n v="183"/>
    <n v="314.58"/>
    <n v="57568.14"/>
    <n v="8"/>
    <n v="2"/>
  </r>
  <r>
    <s v="PO10329"/>
    <x v="9"/>
    <s v="Drive Unit"/>
    <x v="2"/>
    <s v="Branch A"/>
    <x v="109"/>
    <d v="2025-03-19T00:00:00"/>
    <d v="2025-03-21T00:00:00"/>
    <d v="2025-03-23T00:00:00"/>
    <x v="1"/>
    <n v="131"/>
    <n v="467.67"/>
    <n v="61264.77"/>
    <n v="7"/>
    <n v="2"/>
  </r>
  <r>
    <s v="PO10330"/>
    <x v="6"/>
    <s v="Gearbox Assembly"/>
    <x v="1"/>
    <s v="Branch C"/>
    <x v="86"/>
    <d v="2025-01-14T00:00:00"/>
    <d v="2025-01-16T00:00:00"/>
    <d v="2025-01-18T00:00:00"/>
    <x v="2"/>
    <n v="127"/>
    <n v="15.57"/>
    <n v="1977.39"/>
    <n v="8"/>
    <n v="2"/>
  </r>
  <r>
    <s v="PO10331"/>
    <x v="9"/>
    <s v="Hydraulic Pump"/>
    <x v="0"/>
    <s v="Branch C"/>
    <x v="43"/>
    <d v="2025-04-07T00:00:00"/>
    <d v="2025-04-12T00:00:00"/>
    <d v="2025-04-15T00:00:00"/>
    <x v="2"/>
    <n v="42"/>
    <n v="504.82"/>
    <n v="21202.44"/>
    <n v="10"/>
    <n v="5"/>
  </r>
  <r>
    <s v="PO10332"/>
    <x v="9"/>
    <s v="Industrial Motor"/>
    <x v="3"/>
    <s v="Branch F"/>
    <x v="85"/>
    <d v="2025-01-18T00:00:00"/>
    <d v="2025-01-21T00:00:00"/>
    <d v="2025-01-25T00:00:00"/>
    <x v="1"/>
    <n v="91"/>
    <n v="266.97000000000003"/>
    <n v="24294.27"/>
    <n v="11"/>
    <n v="3"/>
  </r>
  <r>
    <s v="PO10333"/>
    <x v="3"/>
    <s v="Control Valve"/>
    <x v="4"/>
    <s v="Branch B"/>
    <x v="110"/>
    <d v="2025-03-17T00:00:00"/>
    <d v="2025-03-17T00:00:00"/>
    <d v="2025-03-19T00:00:00"/>
    <x v="3"/>
    <n v="155"/>
    <n v="695.07"/>
    <n v="107735.85"/>
    <n v="13"/>
    <n v="0"/>
  </r>
  <r>
    <s v="PO10334"/>
    <x v="6"/>
    <s v="Power Transmission Belt"/>
    <x v="0"/>
    <s v="Branch B"/>
    <x v="108"/>
    <d v="2025-02-06T00:00:00"/>
    <d v="2025-02-06T00:00:00"/>
    <d v="2025-02-11T00:00:00"/>
    <x v="3"/>
    <n v="150"/>
    <n v="42.04"/>
    <n v="6306"/>
    <n v="14"/>
    <n v="0"/>
  </r>
  <r>
    <s v="PO10335"/>
    <x v="1"/>
    <s v="Industrial Motor"/>
    <x v="2"/>
    <s v="Branch F"/>
    <x v="0"/>
    <d v="2025-04-04T00:00:00"/>
    <d v="2025-04-04T00:00:00"/>
    <d v="2025-04-08T00:00:00"/>
    <x v="0"/>
    <n v="24"/>
    <n v="213.73"/>
    <n v="5129.5200000000004"/>
    <n v="12"/>
    <n v="0"/>
  </r>
  <r>
    <s v="PO10336"/>
    <x v="4"/>
    <s v="Power Transmission Belt"/>
    <x v="4"/>
    <s v="Branch A"/>
    <x v="38"/>
    <d v="2025-04-09T00:00:00"/>
    <d v="2025-04-12T00:00:00"/>
    <d v="2025-04-15T00:00:00"/>
    <x v="1"/>
    <n v="72"/>
    <n v="190.09"/>
    <n v="13686.48"/>
    <n v="16"/>
    <n v="3"/>
  </r>
  <r>
    <s v="PO10337"/>
    <x v="7"/>
    <s v="Automation Sensor"/>
    <x v="4"/>
    <s v="Branch E"/>
    <x v="13"/>
    <d v="2025-04-06T00:00:00"/>
    <d v="2025-04-06T00:00:00"/>
    <d v="2025-04-10T00:00:00"/>
    <x v="3"/>
    <n v="47"/>
    <n v="753.6"/>
    <n v="35419.199999999997"/>
    <n v="3"/>
    <n v="0"/>
  </r>
  <r>
    <s v="PO10338"/>
    <x v="5"/>
    <s v="Industrial Motor"/>
    <x v="3"/>
    <s v="Branch A"/>
    <x v="47"/>
    <d v="2025-02-22T00:00:00"/>
    <d v="2025-02-27T00:00:00"/>
    <d v="2025-03-03T00:00:00"/>
    <x v="1"/>
    <n v="152"/>
    <n v="558.55999999999995"/>
    <n v="84901.119999999995"/>
    <n v="9"/>
    <n v="5"/>
  </r>
  <r>
    <s v="PO10339"/>
    <x v="9"/>
    <s v="Automation Sensor"/>
    <x v="1"/>
    <s v="Branch F"/>
    <x v="33"/>
    <d v="2025-04-16T00:00:00"/>
    <d v="2025-04-16T00:00:00"/>
    <d v="2025-04-17T00:00:00"/>
    <x v="3"/>
    <n v="31"/>
    <n v="76.959999999999994"/>
    <n v="2385.7600000000002"/>
    <n v="3"/>
    <n v="0"/>
  </r>
  <r>
    <s v="PO10340"/>
    <x v="9"/>
    <s v="Automation Sensor"/>
    <x v="1"/>
    <s v="Branch A"/>
    <x v="85"/>
    <d v="2025-01-21T00:00:00"/>
    <d v="2025-01-21T00:00:00"/>
    <d v="2025-01-24T00:00:00"/>
    <x v="3"/>
    <n v="115"/>
    <n v="801.94"/>
    <n v="92223.1"/>
    <n v="11"/>
    <n v="0"/>
  </r>
  <r>
    <s v="PO10341"/>
    <x v="0"/>
    <s v="Control Valve"/>
    <x v="4"/>
    <s v="Branch C"/>
    <x v="26"/>
    <d v="2025-01-21T00:00:00"/>
    <d v="2025-01-21T00:00:00"/>
    <d v="2025-01-23T00:00:00"/>
    <x v="3"/>
    <n v="189"/>
    <n v="787.85"/>
    <n v="148903.65"/>
    <n v="8"/>
    <n v="0"/>
  </r>
  <r>
    <s v="PO10342"/>
    <x v="4"/>
    <s v="Control Valve"/>
    <x v="0"/>
    <s v="Branch D"/>
    <x v="14"/>
    <d v="2025-02-04T00:00:00"/>
    <d v="2025-02-04T00:00:00"/>
    <d v="2025-02-08T00:00:00"/>
    <x v="2"/>
    <n v="97"/>
    <n v="18.190000000000001"/>
    <n v="1764.43"/>
    <n v="4"/>
    <n v="0"/>
  </r>
  <r>
    <s v="PO10343"/>
    <x v="4"/>
    <s v="Control Valve"/>
    <x v="3"/>
    <s v="Branch D"/>
    <x v="49"/>
    <d v="2025-01-30T00:00:00"/>
    <d v="2025-01-30T00:00:00"/>
    <d v="2025-02-01T00:00:00"/>
    <x v="0"/>
    <n v="25"/>
    <n v="410.43"/>
    <n v="10260.75"/>
    <n v="4"/>
    <n v="0"/>
  </r>
  <r>
    <s v="PO10344"/>
    <x v="7"/>
    <s v="Ball Bearings"/>
    <x v="4"/>
    <s v="Branch D"/>
    <x v="110"/>
    <d v="2025-03-17T00:00:00"/>
    <d v="2025-03-17T00:00:00"/>
    <d v="2025-03-18T00:00:00"/>
    <x v="2"/>
    <n v="102"/>
    <n v="323.45"/>
    <n v="32991.9"/>
    <n v="13"/>
    <n v="0"/>
  </r>
  <r>
    <s v="PO10345"/>
    <x v="4"/>
    <s v="Power Transmission Belt"/>
    <x v="0"/>
    <s v="Branch D"/>
    <x v="111"/>
    <d v="2025-03-08T00:00:00"/>
    <d v="2025-03-08T00:00:00"/>
    <d v="2025-03-11T00:00:00"/>
    <x v="2"/>
    <n v="183"/>
    <n v="572.34"/>
    <n v="104738.22"/>
    <n v="7"/>
    <n v="0"/>
  </r>
  <r>
    <s v="PO10346"/>
    <x v="0"/>
    <s v="Drive Unit"/>
    <x v="0"/>
    <s v="Branch B"/>
    <x v="42"/>
    <d v="2025-04-19T00:00:00"/>
    <d v="2025-04-19T00:00:00"/>
    <d v="2025-04-24T00:00:00"/>
    <x v="0"/>
    <n v="138"/>
    <n v="364.56"/>
    <n v="50309.279999999999"/>
    <n v="12"/>
    <n v="0"/>
  </r>
  <r>
    <s v="PO10347"/>
    <x v="6"/>
    <s v="Industrial Motor"/>
    <x v="2"/>
    <s v="Branch D"/>
    <x v="15"/>
    <d v="2025-03-09T00:00:00"/>
    <d v="2025-03-09T00:00:00"/>
    <d v="2025-03-13T00:00:00"/>
    <x v="0"/>
    <n v="137"/>
    <n v="683.38"/>
    <n v="93623.06"/>
    <n v="7"/>
    <n v="0"/>
  </r>
  <r>
    <s v="PO10348"/>
    <x v="3"/>
    <s v="Gearbox Assembly"/>
    <x v="1"/>
    <s v="Branch E"/>
    <x v="108"/>
    <d v="2025-01-28T00:00:00"/>
    <d v="2025-01-28T00:00:00"/>
    <d v="2025-01-30T00:00:00"/>
    <x v="2"/>
    <n v="25"/>
    <n v="840.21"/>
    <n v="21005.25"/>
    <n v="5"/>
    <n v="0"/>
  </r>
  <r>
    <s v="PO10349"/>
    <x v="1"/>
    <s v="Control Valve"/>
    <x v="0"/>
    <s v="Branch D"/>
    <x v="112"/>
    <d v="2025-02-11T00:00:00"/>
    <d v="2025-02-14T00:00:00"/>
    <d v="2025-02-15T00:00:00"/>
    <x v="2"/>
    <n v="147"/>
    <n v="346.79"/>
    <n v="50978.13"/>
    <n v="11"/>
    <n v="3"/>
  </r>
  <r>
    <s v="PO10350"/>
    <x v="9"/>
    <s v="Industrial Motor"/>
    <x v="0"/>
    <s v="Branch E"/>
    <x v="113"/>
    <d v="2025-05-01T00:00:00"/>
    <d v="2025-05-06T00:00:00"/>
    <d v="2025-05-11T00:00:00"/>
    <x v="1"/>
    <n v="112"/>
    <n v="108.95"/>
    <n v="12202.4"/>
    <n v="8"/>
    <n v="5"/>
  </r>
  <r>
    <s v="PO10351"/>
    <x v="3"/>
    <s v="Control Valve"/>
    <x v="3"/>
    <s v="Branch F"/>
    <x v="36"/>
    <d v="2025-03-31T00:00:00"/>
    <d v="2025-03-31T00:00:00"/>
    <d v="2025-04-01T00:00:00"/>
    <x v="0"/>
    <n v="142"/>
    <n v="749.91"/>
    <n v="106487.22"/>
    <n v="15"/>
    <n v="0"/>
  </r>
  <r>
    <s v="PO10352"/>
    <x v="6"/>
    <s v="Automation Sensor"/>
    <x v="2"/>
    <s v="Branch D"/>
    <x v="110"/>
    <d v="2025-03-16T00:00:00"/>
    <d v="2025-03-18T00:00:00"/>
    <d v="2025-03-22T00:00:00"/>
    <x v="2"/>
    <n v="75"/>
    <n v="351.48"/>
    <n v="26361"/>
    <n v="14"/>
    <n v="2"/>
  </r>
  <r>
    <s v="PO10353"/>
    <x v="1"/>
    <s v="Ball Bearings"/>
    <x v="4"/>
    <s v="Branch C"/>
    <x v="114"/>
    <d v="2025-05-02T00:00:00"/>
    <d v="2025-05-05T00:00:00"/>
    <d v="2025-05-07T00:00:00"/>
    <x v="2"/>
    <n v="126"/>
    <n v="783.9"/>
    <n v="98771.4"/>
    <n v="11"/>
    <n v="3"/>
  </r>
  <r>
    <s v="PO10354"/>
    <x v="5"/>
    <s v="Industrial Motor"/>
    <x v="4"/>
    <s v="Branch F"/>
    <x v="81"/>
    <d v="2025-02-16T00:00:00"/>
    <d v="2025-02-21T00:00:00"/>
    <d v="2025-02-25T00:00:00"/>
    <x v="1"/>
    <n v="180"/>
    <n v="97.01"/>
    <n v="17461.8"/>
    <n v="12"/>
    <n v="5"/>
  </r>
  <r>
    <s v="PO10355"/>
    <x v="4"/>
    <s v="Gearbox Assembly"/>
    <x v="3"/>
    <s v="Branch B"/>
    <x v="74"/>
    <d v="2025-03-13T00:00:00"/>
    <d v="2025-03-18T00:00:00"/>
    <d v="2025-03-21T00:00:00"/>
    <x v="1"/>
    <n v="111"/>
    <n v="520.16"/>
    <n v="57737.760000000002"/>
    <n v="20"/>
    <n v="5"/>
  </r>
  <r>
    <s v="PO10356"/>
    <x v="0"/>
    <s v="Industrial Motor"/>
    <x v="2"/>
    <s v="Branch C"/>
    <x v="91"/>
    <d v="2025-05-06T00:00:00"/>
    <d v="2025-05-09T00:00:00"/>
    <d v="2025-05-13T00:00:00"/>
    <x v="1"/>
    <n v="100"/>
    <n v="700.55"/>
    <n v="70055"/>
    <n v="12"/>
    <n v="3"/>
  </r>
  <r>
    <s v="PO10357"/>
    <x v="2"/>
    <s v="Industrial Motor"/>
    <x v="1"/>
    <s v="Branch B"/>
    <x v="83"/>
    <d v="2025-04-12T00:00:00"/>
    <d v="2025-04-13T00:00:00"/>
    <d v="2025-04-15T00:00:00"/>
    <x v="1"/>
    <n v="139"/>
    <n v="749.24"/>
    <n v="104144.36"/>
    <n v="12"/>
    <n v="1"/>
  </r>
  <r>
    <s v="PO10358"/>
    <x v="8"/>
    <s v="Power Transmission Belt"/>
    <x v="3"/>
    <s v="Branch E"/>
    <x v="99"/>
    <d v="2025-04-21T00:00:00"/>
    <d v="2025-04-21T00:00:00"/>
    <d v="2025-04-22T00:00:00"/>
    <x v="2"/>
    <n v="97"/>
    <n v="603.37"/>
    <n v="58526.89"/>
    <n v="3"/>
    <n v="0"/>
  </r>
  <r>
    <s v="PO10359"/>
    <x v="7"/>
    <s v="Power Transmission Belt"/>
    <x v="4"/>
    <s v="Branch B"/>
    <x v="94"/>
    <d v="2025-03-05T00:00:00"/>
    <d v="2025-03-05T00:00:00"/>
    <d v="2025-03-06T00:00:00"/>
    <x v="0"/>
    <n v="157"/>
    <n v="387.5"/>
    <n v="60837.5"/>
    <n v="13"/>
    <n v="0"/>
  </r>
  <r>
    <s v="PO10360"/>
    <x v="6"/>
    <s v="Gearbox Assembly"/>
    <x v="1"/>
    <s v="Branch F"/>
    <x v="99"/>
    <d v="2025-04-25T00:00:00"/>
    <d v="2025-04-28T00:00:00"/>
    <d v="2025-04-29T00:00:00"/>
    <x v="1"/>
    <n v="103"/>
    <n v="56.46"/>
    <n v="5815.38"/>
    <n v="10"/>
    <n v="3"/>
  </r>
  <r>
    <s v="PO10361"/>
    <x v="9"/>
    <s v="Industrial Motor"/>
    <x v="0"/>
    <s v="Branch A"/>
    <x v="70"/>
    <d v="2025-02-11T00:00:00"/>
    <d v="2025-02-11T00:00:00"/>
    <d v="2025-02-14T00:00:00"/>
    <x v="3"/>
    <n v="179"/>
    <n v="22.43"/>
    <n v="4014.97"/>
    <n v="13"/>
    <n v="0"/>
  </r>
  <r>
    <s v="PO10362"/>
    <x v="3"/>
    <s v="Automation Sensor"/>
    <x v="4"/>
    <s v="Branch D"/>
    <x v="70"/>
    <d v="2025-02-05T00:00:00"/>
    <d v="2025-02-07T00:00:00"/>
    <d v="2025-02-10T00:00:00"/>
    <x v="1"/>
    <n v="186"/>
    <n v="551.69000000000005"/>
    <n v="102614.34"/>
    <n v="9"/>
    <n v="2"/>
  </r>
  <r>
    <s v="PO10363"/>
    <x v="4"/>
    <s v="Ball Bearings"/>
    <x v="0"/>
    <s v="Branch F"/>
    <x v="50"/>
    <d v="2025-02-08T00:00:00"/>
    <d v="2025-02-09T00:00:00"/>
    <d v="2025-02-12T00:00:00"/>
    <x v="1"/>
    <n v="164"/>
    <n v="346.62"/>
    <n v="56845.68"/>
    <n v="7"/>
    <n v="1"/>
  </r>
  <r>
    <s v="PO10364"/>
    <x v="7"/>
    <s v="Hydraulic Pump"/>
    <x v="4"/>
    <s v="Branch C"/>
    <x v="99"/>
    <d v="2025-04-26T00:00:00"/>
    <d v="2025-04-28T00:00:00"/>
    <d v="2025-05-03T00:00:00"/>
    <x v="1"/>
    <n v="81"/>
    <n v="586.48"/>
    <n v="47504.88"/>
    <n v="10"/>
    <n v="2"/>
  </r>
  <r>
    <s v="PO10365"/>
    <x v="8"/>
    <s v="Gearbox Assembly"/>
    <x v="1"/>
    <s v="Branch E"/>
    <x v="0"/>
    <d v="2025-03-31T00:00:00"/>
    <d v="2025-04-05T00:00:00"/>
    <d v="2025-04-08T00:00:00"/>
    <x v="1"/>
    <n v="187"/>
    <n v="810.08"/>
    <n v="151484.96"/>
    <n v="13"/>
    <n v="5"/>
  </r>
  <r>
    <s v="PO10366"/>
    <x v="2"/>
    <s v="Drive Unit"/>
    <x v="4"/>
    <s v="Branch C"/>
    <x v="3"/>
    <d v="2025-04-14T00:00:00"/>
    <d v="2025-04-14T00:00:00"/>
    <d v="2025-04-19T00:00:00"/>
    <x v="3"/>
    <n v="179"/>
    <n v="131.84"/>
    <n v="23599.360000000001"/>
    <n v="6"/>
    <n v="0"/>
  </r>
  <r>
    <s v="PO10367"/>
    <x v="6"/>
    <s v="Gearbox Assembly"/>
    <x v="4"/>
    <s v="Branch F"/>
    <x v="91"/>
    <d v="2025-05-06T00:00:00"/>
    <d v="2025-05-07T00:00:00"/>
    <d v="2025-05-11T00:00:00"/>
    <x v="1"/>
    <n v="154"/>
    <n v="606.24"/>
    <n v="93360.960000000006"/>
    <n v="10"/>
    <n v="1"/>
  </r>
  <r>
    <s v="PO10368"/>
    <x v="1"/>
    <s v="Control Valve"/>
    <x v="1"/>
    <s v="Branch F"/>
    <x v="43"/>
    <d v="2025-04-08T00:00:00"/>
    <d v="2025-04-11T00:00:00"/>
    <d v="2025-04-16T00:00:00"/>
    <x v="1"/>
    <n v="126"/>
    <n v="771.95"/>
    <n v="97265.7"/>
    <n v="9"/>
    <n v="3"/>
  </r>
  <r>
    <s v="PO10369"/>
    <x v="0"/>
    <s v="Industrial Motor"/>
    <x v="4"/>
    <s v="Branch F"/>
    <x v="63"/>
    <d v="2025-05-04T00:00:00"/>
    <d v="2025-05-04T00:00:00"/>
    <d v="2025-05-07T00:00:00"/>
    <x v="0"/>
    <n v="194"/>
    <n v="230.97"/>
    <n v="44808.18"/>
    <n v="11"/>
    <n v="0"/>
  </r>
  <r>
    <s v="PO10370"/>
    <x v="6"/>
    <s v="Control Valve"/>
    <x v="3"/>
    <s v="Branch A"/>
    <x v="54"/>
    <d v="2025-01-18T00:00:00"/>
    <d v="2025-01-18T00:00:00"/>
    <d v="2025-01-20T00:00:00"/>
    <x v="3"/>
    <n v="89"/>
    <n v="325.35000000000002"/>
    <n v="28956.15"/>
    <n v="6"/>
    <n v="0"/>
  </r>
  <r>
    <s v="PO10371"/>
    <x v="5"/>
    <s v="Hydraulic Pump"/>
    <x v="3"/>
    <s v="Branch E"/>
    <x v="15"/>
    <d v="2025-03-05T00:00:00"/>
    <d v="2025-03-10T00:00:00"/>
    <d v="2025-03-15T00:00:00"/>
    <x v="1"/>
    <n v="163"/>
    <n v="74.47"/>
    <n v="12138.61"/>
    <n v="8"/>
    <n v="5"/>
  </r>
  <r>
    <s v="PO10372"/>
    <x v="6"/>
    <s v="Drive Unit"/>
    <x v="1"/>
    <s v="Branch C"/>
    <x v="68"/>
    <d v="2025-02-17T00:00:00"/>
    <d v="2025-02-17T00:00:00"/>
    <d v="2025-02-19T00:00:00"/>
    <x v="0"/>
    <n v="92"/>
    <n v="356.68"/>
    <n v="32814.559999999998"/>
    <n v="9"/>
    <n v="0"/>
  </r>
  <r>
    <s v="PO10373"/>
    <x v="2"/>
    <s v="Ball Bearings"/>
    <x v="3"/>
    <s v="Branch C"/>
    <x v="69"/>
    <d v="2025-05-05T00:00:00"/>
    <d v="2025-05-05T00:00:00"/>
    <d v="2025-05-06T00:00:00"/>
    <x v="3"/>
    <n v="50"/>
    <n v="276.7"/>
    <n v="13835"/>
    <n v="14"/>
    <n v="0"/>
  </r>
  <r>
    <s v="PO10374"/>
    <x v="4"/>
    <s v="Industrial Motor"/>
    <x v="0"/>
    <s v="Branch D"/>
    <x v="29"/>
    <d v="2025-02-11T00:00:00"/>
    <d v="2025-02-16T00:00:00"/>
    <d v="2025-02-18T00:00:00"/>
    <x v="1"/>
    <n v="45"/>
    <n v="423.8"/>
    <n v="19071"/>
    <n v="20"/>
    <n v="5"/>
  </r>
  <r>
    <s v="PO10375"/>
    <x v="0"/>
    <s v="Gearbox Assembly"/>
    <x v="4"/>
    <s v="Branch A"/>
    <x v="0"/>
    <d v="2025-04-01T00:00:00"/>
    <d v="2025-04-02T00:00:00"/>
    <d v="2025-04-06T00:00:00"/>
    <x v="1"/>
    <n v="103"/>
    <n v="18.899999999999999"/>
    <n v="1946.7"/>
    <n v="10"/>
    <n v="1"/>
  </r>
  <r>
    <s v="PO10376"/>
    <x v="5"/>
    <s v="Gearbox Assembly"/>
    <x v="4"/>
    <s v="Branch C"/>
    <x v="10"/>
    <d v="2025-05-03T00:00:00"/>
    <d v="2025-05-08T00:00:00"/>
    <d v="2025-05-13T00:00:00"/>
    <x v="2"/>
    <n v="178"/>
    <n v="18.440000000000001"/>
    <n v="3282.32"/>
    <n v="13"/>
    <n v="5"/>
  </r>
  <r>
    <s v="PO10377"/>
    <x v="2"/>
    <s v="Control Valve"/>
    <x v="4"/>
    <s v="Branch D"/>
    <x v="25"/>
    <d v="2025-01-21T00:00:00"/>
    <d v="2025-01-22T00:00:00"/>
    <d v="2025-01-27T00:00:00"/>
    <x v="1"/>
    <n v="47"/>
    <n v="69.510000000000005"/>
    <n v="3266.97"/>
    <n v="5"/>
    <n v="1"/>
  </r>
  <r>
    <s v="PO10378"/>
    <x v="1"/>
    <s v="Drive Unit"/>
    <x v="4"/>
    <s v="Branch B"/>
    <x v="73"/>
    <d v="2025-04-15T00:00:00"/>
    <d v="2025-04-17T00:00:00"/>
    <d v="2025-04-22T00:00:00"/>
    <x v="1"/>
    <n v="180"/>
    <n v="846.22"/>
    <n v="152319.6"/>
    <n v="13"/>
    <n v="2"/>
  </r>
  <r>
    <s v="PO10379"/>
    <x v="5"/>
    <s v="Ball Bearings"/>
    <x v="0"/>
    <s v="Branch E"/>
    <x v="61"/>
    <d v="2025-02-06T00:00:00"/>
    <d v="2025-02-07T00:00:00"/>
    <d v="2025-02-08T00:00:00"/>
    <x v="1"/>
    <n v="191"/>
    <n v="837.37"/>
    <n v="159937.67000000001"/>
    <n v="16"/>
    <n v="1"/>
  </r>
  <r>
    <s v="PO10380"/>
    <x v="6"/>
    <s v="Ball Bearings"/>
    <x v="0"/>
    <s v="Branch A"/>
    <x v="61"/>
    <d v="2025-01-26T00:00:00"/>
    <d v="2025-01-26T00:00:00"/>
    <d v="2025-01-27T00:00:00"/>
    <x v="3"/>
    <n v="70"/>
    <n v="658.99"/>
    <n v="46129.3"/>
    <n v="4"/>
    <n v="0"/>
  </r>
  <r>
    <s v="PO10381"/>
    <x v="3"/>
    <s v="Hydraulic Pump"/>
    <x v="0"/>
    <s v="Branch C"/>
    <x v="5"/>
    <d v="2025-03-30T00:00:00"/>
    <d v="2025-04-02T00:00:00"/>
    <d v="2025-04-03T00:00:00"/>
    <x v="2"/>
    <n v="34"/>
    <n v="363.01"/>
    <n v="12342.34"/>
    <n v="7"/>
    <n v="3"/>
  </r>
  <r>
    <s v="PO10382"/>
    <x v="0"/>
    <s v="Control Valve"/>
    <x v="0"/>
    <s v="Branch E"/>
    <x v="15"/>
    <d v="2025-03-16T00:00:00"/>
    <d v="2025-03-16T00:00:00"/>
    <d v="2025-03-18T00:00:00"/>
    <x v="0"/>
    <n v="174"/>
    <n v="99.32"/>
    <n v="17281.68"/>
    <n v="14"/>
    <n v="0"/>
  </r>
  <r>
    <s v="PO10383"/>
    <x v="4"/>
    <s v="Hydraulic Pump"/>
    <x v="3"/>
    <s v="Branch B"/>
    <x v="58"/>
    <d v="2025-04-05T00:00:00"/>
    <d v="2025-04-06T00:00:00"/>
    <d v="2025-04-07T00:00:00"/>
    <x v="1"/>
    <n v="163"/>
    <n v="113.31"/>
    <n v="18469.53"/>
    <n v="6"/>
    <n v="1"/>
  </r>
  <r>
    <s v="PO10384"/>
    <x v="3"/>
    <s v="Control Valve"/>
    <x v="1"/>
    <s v="Branch A"/>
    <x v="77"/>
    <d v="2025-03-25T00:00:00"/>
    <d v="2025-03-30T00:00:00"/>
    <d v="2025-04-02T00:00:00"/>
    <x v="1"/>
    <n v="56"/>
    <n v="313.86"/>
    <n v="17576.16"/>
    <n v="11"/>
    <n v="5"/>
  </r>
  <r>
    <s v="PO10385"/>
    <x v="4"/>
    <s v="Drive Unit"/>
    <x v="1"/>
    <s v="Branch A"/>
    <x v="55"/>
    <d v="2025-03-22T00:00:00"/>
    <d v="2025-03-22T00:00:00"/>
    <d v="2025-03-26T00:00:00"/>
    <x v="3"/>
    <n v="8"/>
    <n v="575.80999999999995"/>
    <n v="4606.4799999999996"/>
    <n v="10"/>
    <n v="0"/>
  </r>
  <r>
    <s v="PO10386"/>
    <x v="8"/>
    <s v="Control Valve"/>
    <x v="3"/>
    <s v="Branch A"/>
    <x v="75"/>
    <d v="2025-04-21T00:00:00"/>
    <d v="2025-04-21T00:00:00"/>
    <d v="2025-04-22T00:00:00"/>
    <x v="3"/>
    <n v="121"/>
    <n v="840.54"/>
    <n v="101705.34"/>
    <n v="11"/>
    <n v="0"/>
  </r>
  <r>
    <s v="PO10387"/>
    <x v="1"/>
    <s v="Automation Sensor"/>
    <x v="2"/>
    <s v="Branch A"/>
    <x v="26"/>
    <d v="2025-01-18T00:00:00"/>
    <d v="2025-01-23T00:00:00"/>
    <d v="2025-01-24T00:00:00"/>
    <x v="1"/>
    <n v="97"/>
    <n v="684.33"/>
    <n v="66380.009999999995"/>
    <n v="10"/>
    <n v="5"/>
  </r>
  <r>
    <s v="PO10388"/>
    <x v="7"/>
    <s v="Control Valve"/>
    <x v="2"/>
    <s v="Branch C"/>
    <x v="52"/>
    <d v="2025-05-04T00:00:00"/>
    <d v="2025-05-04T00:00:00"/>
    <d v="2025-05-05T00:00:00"/>
    <x v="0"/>
    <n v="48"/>
    <n v="289.43"/>
    <n v="13892.64"/>
    <n v="15"/>
    <n v="0"/>
  </r>
  <r>
    <s v="PO10389"/>
    <x v="3"/>
    <s v="Drive Unit"/>
    <x v="3"/>
    <s v="Branch F"/>
    <x v="34"/>
    <d v="2025-04-23T00:00:00"/>
    <d v="2025-04-23T00:00:00"/>
    <d v="2025-04-24T00:00:00"/>
    <x v="3"/>
    <n v="121"/>
    <n v="241.98"/>
    <n v="29279.58"/>
    <n v="8"/>
    <n v="0"/>
  </r>
  <r>
    <s v="PO10390"/>
    <x v="9"/>
    <s v="Hydraulic Pump"/>
    <x v="3"/>
    <s v="Branch E"/>
    <x v="114"/>
    <d v="2025-05-09T00:00:00"/>
    <d v="2025-05-09T00:00:00"/>
    <d v="2025-05-10T00:00:00"/>
    <x v="0"/>
    <n v="20"/>
    <n v="834.61"/>
    <n v="16692.2"/>
    <n v="15"/>
    <n v="0"/>
  </r>
  <r>
    <s v="PO10391"/>
    <x v="6"/>
    <s v="Ball Bearings"/>
    <x v="1"/>
    <s v="Branch D"/>
    <x v="98"/>
    <d v="2025-03-18T00:00:00"/>
    <d v="2025-03-20T00:00:00"/>
    <d v="2025-03-24T00:00:00"/>
    <x v="2"/>
    <n v="102"/>
    <n v="665.6"/>
    <n v="67891.199999999997"/>
    <n v="17"/>
    <n v="2"/>
  </r>
  <r>
    <s v="PO10392"/>
    <x v="2"/>
    <s v="Gearbox Assembly"/>
    <x v="4"/>
    <s v="Branch E"/>
    <x v="113"/>
    <d v="2025-05-08T00:00:00"/>
    <d v="2025-05-08T00:00:00"/>
    <d v="2025-05-12T00:00:00"/>
    <x v="2"/>
    <n v="71"/>
    <n v="561.9"/>
    <n v="39894.9"/>
    <n v="10"/>
    <n v="0"/>
  </r>
  <r>
    <s v="PO10393"/>
    <x v="7"/>
    <s v="Power Transmission Belt"/>
    <x v="3"/>
    <s v="Branch B"/>
    <x v="53"/>
    <d v="2025-03-22T00:00:00"/>
    <d v="2025-03-25T00:00:00"/>
    <d v="2025-03-30T00:00:00"/>
    <x v="2"/>
    <n v="174"/>
    <n v="621.75"/>
    <n v="108184.5"/>
    <n v="17"/>
    <n v="3"/>
  </r>
  <r>
    <s v="PO10394"/>
    <x v="7"/>
    <s v="Drive Unit"/>
    <x v="1"/>
    <s v="Branch A"/>
    <x v="99"/>
    <d v="2025-04-29T00:00:00"/>
    <d v="2025-05-01T00:00:00"/>
    <d v="2025-05-02T00:00:00"/>
    <x v="2"/>
    <n v="45"/>
    <n v="437.15"/>
    <n v="19671.75"/>
    <n v="13"/>
    <n v="2"/>
  </r>
  <r>
    <s v="PO10395"/>
    <x v="0"/>
    <s v="Automation Sensor"/>
    <x v="3"/>
    <s v="Branch B"/>
    <x v="42"/>
    <d v="2025-04-17T00:00:00"/>
    <d v="2025-04-17T00:00:00"/>
    <d v="2025-04-19T00:00:00"/>
    <x v="3"/>
    <n v="17"/>
    <n v="438.29"/>
    <n v="7450.93"/>
    <n v="10"/>
    <n v="0"/>
  </r>
  <r>
    <s v="PO10396"/>
    <x v="4"/>
    <s v="Drive Unit"/>
    <x v="2"/>
    <s v="Branch A"/>
    <x v="23"/>
    <d v="2025-01-21T00:00:00"/>
    <d v="2025-01-22T00:00:00"/>
    <d v="2025-01-27T00:00:00"/>
    <x v="1"/>
    <n v="132"/>
    <n v="388.3"/>
    <n v="51255.6"/>
    <n v="11"/>
    <n v="1"/>
  </r>
  <r>
    <s v="PO10397"/>
    <x v="8"/>
    <s v="Gearbox Assembly"/>
    <x v="3"/>
    <s v="Branch C"/>
    <x v="19"/>
    <d v="2025-03-02T00:00:00"/>
    <d v="2025-03-02T00:00:00"/>
    <d v="2025-03-07T00:00:00"/>
    <x v="0"/>
    <n v="159"/>
    <n v="819.25"/>
    <n v="130260.75"/>
    <n v="9"/>
    <n v="0"/>
  </r>
  <r>
    <s v="PO10398"/>
    <x v="6"/>
    <s v="Drive Unit"/>
    <x v="4"/>
    <s v="Branch F"/>
    <x v="31"/>
    <d v="2025-02-19T00:00:00"/>
    <d v="2025-02-24T00:00:00"/>
    <d v="2025-02-26T00:00:00"/>
    <x v="1"/>
    <n v="89"/>
    <n v="482.73"/>
    <n v="42962.97"/>
    <n v="8"/>
    <n v="5"/>
  </r>
  <r>
    <s v="PO10399"/>
    <x v="8"/>
    <s v="Power Transmission Belt"/>
    <x v="2"/>
    <s v="Branch A"/>
    <x v="60"/>
    <d v="2025-03-03T00:00:00"/>
    <d v="2025-03-03T00:00:00"/>
    <d v="2025-03-05T00:00:00"/>
    <x v="0"/>
    <n v="167"/>
    <n v="820.3"/>
    <n v="136990.1"/>
    <n v="4"/>
    <n v="0"/>
  </r>
  <r>
    <s v="PO10400"/>
    <x v="4"/>
    <s v="Control Valve"/>
    <x v="0"/>
    <s v="Branch B"/>
    <x v="10"/>
    <d v="2025-04-30T00:00:00"/>
    <d v="2025-05-01T00:00:00"/>
    <d v="2025-05-03T00:00:00"/>
    <x v="1"/>
    <n v="195"/>
    <n v="617.5"/>
    <n v="120412.5"/>
    <n v="6"/>
    <n v="1"/>
  </r>
  <r>
    <s v="PO10401"/>
    <x v="4"/>
    <s v="Automation Sensor"/>
    <x v="2"/>
    <s v="Branch F"/>
    <x v="37"/>
    <d v="2025-01-29T00:00:00"/>
    <d v="2025-02-03T00:00:00"/>
    <d v="2025-02-07T00:00:00"/>
    <x v="1"/>
    <n v="53"/>
    <n v="613.52"/>
    <n v="32516.560000000001"/>
    <n v="9"/>
    <n v="5"/>
  </r>
  <r>
    <s v="PO10402"/>
    <x v="6"/>
    <s v="Industrial Motor"/>
    <x v="3"/>
    <s v="Branch A"/>
    <x v="99"/>
    <d v="2025-05-01T00:00:00"/>
    <d v="2025-05-03T00:00:00"/>
    <d v="2025-05-04T00:00:00"/>
    <x v="1"/>
    <n v="120"/>
    <n v="396.92"/>
    <n v="47630.400000000001"/>
    <n v="15"/>
    <n v="2"/>
  </r>
  <r>
    <s v="PO10403"/>
    <x v="9"/>
    <s v="Industrial Motor"/>
    <x v="1"/>
    <s v="Branch A"/>
    <x v="105"/>
    <d v="2025-03-23T00:00:00"/>
    <d v="2025-03-23T00:00:00"/>
    <d v="2025-03-28T00:00:00"/>
    <x v="3"/>
    <n v="128"/>
    <n v="786.85"/>
    <n v="100716.8"/>
    <n v="14"/>
    <n v="0"/>
  </r>
  <r>
    <s v="PO10404"/>
    <x v="3"/>
    <s v="Gearbox Assembly"/>
    <x v="4"/>
    <s v="Branch D"/>
    <x v="65"/>
    <d v="2025-03-04T00:00:00"/>
    <d v="2025-03-06T00:00:00"/>
    <d v="2025-03-11T00:00:00"/>
    <x v="1"/>
    <n v="134"/>
    <n v="750.96"/>
    <n v="100628.64"/>
    <n v="15"/>
    <n v="2"/>
  </r>
  <r>
    <s v="PO10405"/>
    <x v="0"/>
    <s v="Control Valve"/>
    <x v="0"/>
    <s v="Branch C"/>
    <x v="115"/>
    <d v="2025-02-20T00:00:00"/>
    <d v="2025-02-21T00:00:00"/>
    <d v="2025-02-23T00:00:00"/>
    <x v="2"/>
    <n v="159"/>
    <n v="599.51"/>
    <n v="95322.09"/>
    <n v="8"/>
    <n v="1"/>
  </r>
  <r>
    <s v="PO10406"/>
    <x v="1"/>
    <s v="Industrial Motor"/>
    <x v="1"/>
    <s v="Branch E"/>
    <x v="43"/>
    <d v="2025-04-16T00:00:00"/>
    <d v="2025-04-18T00:00:00"/>
    <d v="2025-04-20T00:00:00"/>
    <x v="1"/>
    <n v="164"/>
    <n v="611.51"/>
    <n v="100287.64"/>
    <n v="16"/>
    <n v="2"/>
  </r>
  <r>
    <s v="PO10407"/>
    <x v="7"/>
    <s v="Automation Sensor"/>
    <x v="0"/>
    <s v="Branch C"/>
    <x v="116"/>
    <d v="2025-03-25T00:00:00"/>
    <d v="2025-03-28T00:00:00"/>
    <d v="2025-03-31T00:00:00"/>
    <x v="1"/>
    <n v="199"/>
    <n v="309.12"/>
    <n v="61514.879999999997"/>
    <n v="17"/>
    <n v="3"/>
  </r>
  <r>
    <s v="PO10408"/>
    <x v="2"/>
    <s v="Ball Bearings"/>
    <x v="1"/>
    <s v="Branch C"/>
    <x v="63"/>
    <d v="2025-05-02T00:00:00"/>
    <d v="2025-05-07T00:00:00"/>
    <d v="2025-05-08T00:00:00"/>
    <x v="1"/>
    <n v="11"/>
    <n v="333.03"/>
    <n v="3663.33"/>
    <n v="14"/>
    <n v="5"/>
  </r>
  <r>
    <s v="PO10409"/>
    <x v="8"/>
    <s v="Gearbox Assembly"/>
    <x v="0"/>
    <s v="Branch A"/>
    <x v="42"/>
    <d v="2025-04-22T00:00:00"/>
    <d v="2025-04-22T00:00:00"/>
    <d v="2025-04-25T00:00:00"/>
    <x v="2"/>
    <n v="20"/>
    <n v="591.65"/>
    <n v="11833"/>
    <n v="15"/>
    <n v="0"/>
  </r>
  <r>
    <s v="PO10410"/>
    <x v="0"/>
    <s v="Control Valve"/>
    <x v="2"/>
    <s v="Branch D"/>
    <x v="78"/>
    <d v="2025-02-25T00:00:00"/>
    <d v="2025-02-25T00:00:00"/>
    <d v="2025-03-02T00:00:00"/>
    <x v="0"/>
    <n v="148"/>
    <n v="339.72"/>
    <n v="50278.559999999998"/>
    <n v="10"/>
    <n v="0"/>
  </r>
  <r>
    <s v="PO10411"/>
    <x v="8"/>
    <s v="Gearbox Assembly"/>
    <x v="0"/>
    <s v="Branch D"/>
    <x v="65"/>
    <d v="2025-02-28T00:00:00"/>
    <d v="2025-03-05T00:00:00"/>
    <d v="2025-03-08T00:00:00"/>
    <x v="1"/>
    <n v="18"/>
    <n v="25.83"/>
    <n v="464.94"/>
    <n v="14"/>
    <n v="5"/>
  </r>
  <r>
    <s v="PO10412"/>
    <x v="5"/>
    <s v="Gearbox Assembly"/>
    <x v="4"/>
    <s v="Branch D"/>
    <x v="6"/>
    <d v="2025-04-23T00:00:00"/>
    <d v="2025-04-26T00:00:00"/>
    <d v="2025-04-29T00:00:00"/>
    <x v="1"/>
    <n v="144"/>
    <n v="631.61"/>
    <n v="90951.84"/>
    <n v="9"/>
    <n v="3"/>
  </r>
  <r>
    <s v="PO10413"/>
    <x v="3"/>
    <s v="Control Valve"/>
    <x v="0"/>
    <s v="Branch C"/>
    <x v="108"/>
    <d v="2025-02-05T00:00:00"/>
    <d v="2025-02-05T00:00:00"/>
    <d v="2025-02-07T00:00:00"/>
    <x v="0"/>
    <n v="35"/>
    <n v="329.96"/>
    <n v="11548.6"/>
    <n v="13"/>
    <n v="0"/>
  </r>
  <r>
    <s v="PO10414"/>
    <x v="9"/>
    <s v="Ball Bearings"/>
    <x v="1"/>
    <s v="Branch C"/>
    <x v="25"/>
    <d v="2025-01-22T00:00:00"/>
    <d v="2025-01-24T00:00:00"/>
    <d v="2025-01-27T00:00:00"/>
    <x v="2"/>
    <n v="124"/>
    <n v="607.59"/>
    <n v="75341.16"/>
    <n v="7"/>
    <n v="2"/>
  </r>
  <r>
    <s v="PO10415"/>
    <x v="6"/>
    <s v="Power Transmission Belt"/>
    <x v="2"/>
    <s v="Branch F"/>
    <x v="51"/>
    <d v="2025-03-21T00:00:00"/>
    <d v="2025-03-26T00:00:00"/>
    <d v="2025-03-31T00:00:00"/>
    <x v="1"/>
    <n v="82"/>
    <n v="424.61"/>
    <n v="34818.019999999997"/>
    <n v="8"/>
    <n v="5"/>
  </r>
  <r>
    <s v="PO10416"/>
    <x v="0"/>
    <s v="Automation Sensor"/>
    <x v="2"/>
    <s v="Branch C"/>
    <x v="62"/>
    <d v="2025-02-21T00:00:00"/>
    <d v="2025-02-21T00:00:00"/>
    <d v="2025-02-23T00:00:00"/>
    <x v="0"/>
    <n v="45"/>
    <n v="362.3"/>
    <n v="16303.5"/>
    <n v="11"/>
    <n v="0"/>
  </r>
  <r>
    <s v="PO10417"/>
    <x v="6"/>
    <s v="Drive Unit"/>
    <x v="0"/>
    <s v="Branch F"/>
    <x v="70"/>
    <d v="2025-02-04T00:00:00"/>
    <d v="2025-02-07T00:00:00"/>
    <d v="2025-02-10T00:00:00"/>
    <x v="1"/>
    <n v="80"/>
    <n v="197.4"/>
    <n v="15792"/>
    <n v="9"/>
    <n v="3"/>
  </r>
  <r>
    <s v="PO10418"/>
    <x v="6"/>
    <s v="Gearbox Assembly"/>
    <x v="2"/>
    <s v="Branch F"/>
    <x v="64"/>
    <d v="2025-01-06T00:00:00"/>
    <d v="2025-01-09T00:00:00"/>
    <d v="2025-01-12T00:00:00"/>
    <x v="1"/>
    <n v="169"/>
    <n v="527.44000000000005"/>
    <n v="89137.36"/>
    <n v="7"/>
    <n v="3"/>
  </r>
  <r>
    <s v="PO10419"/>
    <x v="2"/>
    <s v="Power Transmission Belt"/>
    <x v="0"/>
    <s v="Branch E"/>
    <x v="114"/>
    <d v="2025-05-02T00:00:00"/>
    <d v="2025-05-03T00:00:00"/>
    <d v="2025-05-04T00:00:00"/>
    <x v="1"/>
    <n v="143"/>
    <n v="619.52"/>
    <n v="88591.360000000001"/>
    <n v="9"/>
    <n v="1"/>
  </r>
  <r>
    <s v="PO10420"/>
    <x v="9"/>
    <s v="Ball Bearings"/>
    <x v="2"/>
    <s v="Branch B"/>
    <x v="60"/>
    <d v="2025-03-09T00:00:00"/>
    <d v="2025-03-09T00:00:00"/>
    <d v="2025-03-12T00:00:00"/>
    <x v="0"/>
    <n v="26"/>
    <n v="806.76"/>
    <n v="20975.759999999998"/>
    <n v="10"/>
    <n v="0"/>
  </r>
  <r>
    <s v="PO10421"/>
    <x v="5"/>
    <s v="Automation Sensor"/>
    <x v="2"/>
    <s v="Branch F"/>
    <x v="38"/>
    <d v="2025-04-09T00:00:00"/>
    <d v="2025-04-14T00:00:00"/>
    <d v="2025-04-16T00:00:00"/>
    <x v="1"/>
    <n v="113"/>
    <n v="712.78"/>
    <n v="80544.14"/>
    <n v="18"/>
    <n v="5"/>
  </r>
  <r>
    <s v="PO10422"/>
    <x v="8"/>
    <s v="Hydraulic Pump"/>
    <x v="0"/>
    <s v="Branch B"/>
    <x v="12"/>
    <d v="2025-04-03T00:00:00"/>
    <d v="2025-04-03T00:00:00"/>
    <d v="2025-04-07T00:00:00"/>
    <x v="2"/>
    <n v="23"/>
    <n v="60.31"/>
    <n v="1387.13"/>
    <n v="5"/>
    <n v="0"/>
  </r>
  <r>
    <s v="PO10423"/>
    <x v="2"/>
    <s v="Automation Sensor"/>
    <x v="2"/>
    <s v="Branch E"/>
    <x v="91"/>
    <d v="2025-05-04T00:00:00"/>
    <d v="2025-05-05T00:00:00"/>
    <d v="2025-05-09T00:00:00"/>
    <x v="1"/>
    <n v="108"/>
    <n v="376.58"/>
    <n v="40670.639999999999"/>
    <n v="8"/>
    <n v="1"/>
  </r>
  <r>
    <s v="PO10424"/>
    <x v="4"/>
    <s v="Power Transmission Belt"/>
    <x v="0"/>
    <s v="Branch A"/>
    <x v="100"/>
    <d v="2025-01-14T00:00:00"/>
    <d v="2025-01-17T00:00:00"/>
    <d v="2025-01-22T00:00:00"/>
    <x v="2"/>
    <n v="195"/>
    <n v="503.98"/>
    <n v="98276.1"/>
    <n v="16"/>
    <n v="3"/>
  </r>
  <r>
    <s v="PO10425"/>
    <x v="7"/>
    <s v="Automation Sensor"/>
    <x v="3"/>
    <s v="Branch F"/>
    <x v="57"/>
    <d v="2025-02-22T00:00:00"/>
    <d v="2025-02-25T00:00:00"/>
    <d v="2025-02-28T00:00:00"/>
    <x v="1"/>
    <n v="77"/>
    <n v="654"/>
    <n v="50358"/>
    <n v="18"/>
    <n v="3"/>
  </r>
  <r>
    <s v="PO10426"/>
    <x v="0"/>
    <s v="Control Valve"/>
    <x v="1"/>
    <s v="Branch C"/>
    <x v="90"/>
    <d v="2025-01-14T00:00:00"/>
    <d v="2025-01-14T00:00:00"/>
    <d v="2025-01-19T00:00:00"/>
    <x v="2"/>
    <n v="105"/>
    <n v="680.3"/>
    <n v="71431.5"/>
    <n v="10"/>
    <n v="0"/>
  </r>
  <r>
    <s v="PO10427"/>
    <x v="0"/>
    <s v="Industrial Motor"/>
    <x v="2"/>
    <s v="Branch A"/>
    <x v="39"/>
    <d v="2025-04-12T00:00:00"/>
    <d v="2025-04-17T00:00:00"/>
    <d v="2025-04-20T00:00:00"/>
    <x v="1"/>
    <n v="7"/>
    <n v="477.19"/>
    <n v="3340.33"/>
    <n v="20"/>
    <n v="5"/>
  </r>
  <r>
    <s v="PO10428"/>
    <x v="1"/>
    <s v="Gearbox Assembly"/>
    <x v="3"/>
    <s v="Branch F"/>
    <x v="100"/>
    <d v="2025-01-13T00:00:00"/>
    <d v="2025-01-15T00:00:00"/>
    <d v="2025-01-19T00:00:00"/>
    <x v="1"/>
    <n v="26"/>
    <n v="269.42"/>
    <n v="7004.92"/>
    <n v="14"/>
    <n v="2"/>
  </r>
  <r>
    <s v="PO10429"/>
    <x v="9"/>
    <s v="Ball Bearings"/>
    <x v="0"/>
    <s v="Branch D"/>
    <x v="52"/>
    <d v="2025-04-30T00:00:00"/>
    <d v="2025-04-30T00:00:00"/>
    <d v="2025-05-02T00:00:00"/>
    <x v="0"/>
    <n v="69"/>
    <n v="177.26"/>
    <n v="12230.94"/>
    <n v="11"/>
    <n v="0"/>
  </r>
  <r>
    <s v="PO10430"/>
    <x v="7"/>
    <s v="Power Transmission Belt"/>
    <x v="4"/>
    <s v="Branch B"/>
    <x v="92"/>
    <d v="2025-04-04T00:00:00"/>
    <d v="2025-04-04T00:00:00"/>
    <d v="2025-04-07T00:00:00"/>
    <x v="0"/>
    <n v="55"/>
    <n v="620.87"/>
    <n v="34147.85"/>
    <n v="11"/>
    <n v="0"/>
  </r>
  <r>
    <s v="PO10431"/>
    <x v="7"/>
    <s v="Power Transmission Belt"/>
    <x v="0"/>
    <s v="Branch F"/>
    <x v="38"/>
    <d v="2025-04-09T00:00:00"/>
    <d v="2025-04-09T00:00:00"/>
    <d v="2025-04-10T00:00:00"/>
    <x v="3"/>
    <n v="54"/>
    <n v="280.35000000000002"/>
    <n v="15138.9"/>
    <n v="13"/>
    <n v="0"/>
  </r>
  <r>
    <s v="PO10432"/>
    <x v="3"/>
    <s v="Industrial Motor"/>
    <x v="2"/>
    <s v="Branch C"/>
    <x v="81"/>
    <d v="2025-02-23T00:00:00"/>
    <d v="2025-02-25T00:00:00"/>
    <d v="2025-02-27T00:00:00"/>
    <x v="1"/>
    <n v="98"/>
    <n v="689.43"/>
    <n v="67564.14"/>
    <n v="16"/>
    <n v="2"/>
  </r>
  <r>
    <s v="PO10433"/>
    <x v="1"/>
    <s v="Drive Unit"/>
    <x v="3"/>
    <s v="Branch D"/>
    <x v="7"/>
    <d v="2025-02-16T00:00:00"/>
    <d v="2025-02-16T00:00:00"/>
    <d v="2025-02-20T00:00:00"/>
    <x v="3"/>
    <n v="39"/>
    <n v="582.45000000000005"/>
    <n v="22715.55"/>
    <n v="15"/>
    <n v="0"/>
  </r>
  <r>
    <s v="PO10434"/>
    <x v="8"/>
    <s v="Industrial Motor"/>
    <x v="0"/>
    <s v="Branch B"/>
    <x v="78"/>
    <d v="2025-03-02T00:00:00"/>
    <d v="2025-03-02T00:00:00"/>
    <d v="2025-03-06T00:00:00"/>
    <x v="2"/>
    <n v="160"/>
    <n v="83.45"/>
    <n v="13352"/>
    <n v="15"/>
    <n v="0"/>
  </r>
  <r>
    <s v="PO10435"/>
    <x v="2"/>
    <s v="Automation Sensor"/>
    <x v="0"/>
    <s v="Branch B"/>
    <x v="112"/>
    <d v="2025-02-17T00:00:00"/>
    <d v="2025-02-20T00:00:00"/>
    <d v="2025-02-21T00:00:00"/>
    <x v="1"/>
    <n v="9"/>
    <n v="724.41"/>
    <n v="6519.69"/>
    <n v="17"/>
    <n v="3"/>
  </r>
  <r>
    <s v="PO10436"/>
    <x v="9"/>
    <s v="Power Transmission Belt"/>
    <x v="3"/>
    <s v="Branch B"/>
    <x v="91"/>
    <d v="2025-04-30T00:00:00"/>
    <d v="2025-05-02T00:00:00"/>
    <d v="2025-05-05T00:00:00"/>
    <x v="1"/>
    <n v="143"/>
    <n v="409.21"/>
    <n v="58517.03"/>
    <n v="5"/>
    <n v="2"/>
  </r>
  <r>
    <s v="PO10437"/>
    <x v="3"/>
    <s v="Power Transmission Belt"/>
    <x v="0"/>
    <s v="Branch A"/>
    <x v="10"/>
    <d v="2025-05-10T00:00:00"/>
    <d v="2025-05-12T00:00:00"/>
    <d v="2025-05-15T00:00:00"/>
    <x v="2"/>
    <n v="133"/>
    <n v="441.19"/>
    <n v="58678.27"/>
    <n v="17"/>
    <n v="2"/>
  </r>
  <r>
    <s v="PO10438"/>
    <x v="7"/>
    <s v="Industrial Motor"/>
    <x v="1"/>
    <s v="Branch E"/>
    <x v="5"/>
    <d v="2025-04-01T00:00:00"/>
    <d v="2025-04-06T00:00:00"/>
    <d v="2025-04-11T00:00:00"/>
    <x v="1"/>
    <n v="198"/>
    <n v="444.3"/>
    <n v="87971.4"/>
    <n v="11"/>
    <n v="5"/>
  </r>
  <r>
    <s v="PO10439"/>
    <x v="2"/>
    <s v="Gearbox Assembly"/>
    <x v="3"/>
    <s v="Branch B"/>
    <x v="109"/>
    <d v="2025-03-27T00:00:00"/>
    <d v="2025-04-01T00:00:00"/>
    <d v="2025-04-03T00:00:00"/>
    <x v="1"/>
    <n v="128"/>
    <n v="799.21"/>
    <n v="102298.88"/>
    <n v="18"/>
    <n v="5"/>
  </r>
  <r>
    <s v="PO10440"/>
    <x v="1"/>
    <s v="Automation Sensor"/>
    <x v="3"/>
    <s v="Branch D"/>
    <x v="106"/>
    <d v="2025-01-16T00:00:00"/>
    <d v="2025-01-16T00:00:00"/>
    <d v="2025-01-18T00:00:00"/>
    <x v="0"/>
    <n v="137"/>
    <n v="772.95"/>
    <n v="105894.15"/>
    <n v="7"/>
    <n v="0"/>
  </r>
  <r>
    <s v="PO10441"/>
    <x v="8"/>
    <s v="Control Valve"/>
    <x v="0"/>
    <s v="Branch E"/>
    <x v="63"/>
    <d v="2025-04-26T00:00:00"/>
    <d v="2025-04-26T00:00:00"/>
    <d v="2025-04-29T00:00:00"/>
    <x v="0"/>
    <n v="138"/>
    <n v="544.03"/>
    <n v="75076.14"/>
    <n v="3"/>
    <n v="0"/>
  </r>
  <r>
    <s v="PO10442"/>
    <x v="4"/>
    <s v="Control Valve"/>
    <x v="3"/>
    <s v="Branch B"/>
    <x v="109"/>
    <d v="2025-03-19T00:00:00"/>
    <d v="2025-03-20T00:00:00"/>
    <d v="2025-03-24T00:00:00"/>
    <x v="1"/>
    <n v="172"/>
    <n v="765.02"/>
    <n v="131583.44"/>
    <n v="6"/>
    <n v="1"/>
  </r>
  <r>
    <s v="PO10443"/>
    <x v="9"/>
    <s v="Drive Unit"/>
    <x v="1"/>
    <s v="Branch B"/>
    <x v="53"/>
    <d v="2025-03-17T00:00:00"/>
    <d v="2025-03-17T00:00:00"/>
    <d v="2025-03-20T00:00:00"/>
    <x v="3"/>
    <n v="159"/>
    <n v="20.51"/>
    <n v="3261.09"/>
    <n v="9"/>
    <n v="0"/>
  </r>
  <r>
    <s v="PO10444"/>
    <x v="6"/>
    <s v="Hydraulic Pump"/>
    <x v="1"/>
    <s v="Branch D"/>
    <x v="85"/>
    <d v="2025-01-21T00:00:00"/>
    <d v="2025-01-24T00:00:00"/>
    <d v="2025-01-27T00:00:00"/>
    <x v="1"/>
    <n v="52"/>
    <n v="146.38999999999999"/>
    <n v="7612.28"/>
    <n v="14"/>
    <n v="3"/>
  </r>
  <r>
    <s v="PO10445"/>
    <x v="6"/>
    <s v="Industrial Motor"/>
    <x v="3"/>
    <s v="Branch A"/>
    <x v="18"/>
    <d v="2025-04-22T00:00:00"/>
    <d v="2025-04-25T00:00:00"/>
    <d v="2025-04-26T00:00:00"/>
    <x v="1"/>
    <n v="127"/>
    <n v="414.98"/>
    <n v="52702.46"/>
    <n v="11"/>
    <n v="3"/>
  </r>
  <r>
    <s v="PO10446"/>
    <x v="6"/>
    <s v="Industrial Motor"/>
    <x v="2"/>
    <s v="Branch B"/>
    <x v="7"/>
    <d v="2025-02-04T00:00:00"/>
    <d v="2025-02-04T00:00:00"/>
    <d v="2025-02-09T00:00:00"/>
    <x v="2"/>
    <n v="136"/>
    <n v="47.72"/>
    <n v="6489.92"/>
    <n v="3"/>
    <n v="0"/>
  </r>
  <r>
    <s v="PO10447"/>
    <x v="8"/>
    <s v="Hydraulic Pump"/>
    <x v="1"/>
    <s v="Branch D"/>
    <x v="112"/>
    <d v="2025-02-08T00:00:00"/>
    <d v="2025-02-10T00:00:00"/>
    <d v="2025-02-14T00:00:00"/>
    <x v="1"/>
    <n v="149"/>
    <n v="547.41"/>
    <n v="81564.09"/>
    <n v="7"/>
    <n v="2"/>
  </r>
  <r>
    <s v="PO10448"/>
    <x v="6"/>
    <s v="Industrial Motor"/>
    <x v="0"/>
    <s v="Branch F"/>
    <x v="77"/>
    <d v="2025-03-29T00:00:00"/>
    <d v="2025-04-03T00:00:00"/>
    <d v="2025-04-07T00:00:00"/>
    <x v="2"/>
    <n v="110"/>
    <n v="516.70000000000005"/>
    <n v="56837"/>
    <n v="15"/>
    <n v="5"/>
  </r>
  <r>
    <s v="PO10449"/>
    <x v="3"/>
    <s v="Industrial Motor"/>
    <x v="2"/>
    <s v="Branch A"/>
    <x v="87"/>
    <d v="2025-03-14T00:00:00"/>
    <d v="2025-03-14T00:00:00"/>
    <d v="2025-03-17T00:00:00"/>
    <x v="3"/>
    <n v="22"/>
    <n v="206.89"/>
    <n v="4551.58"/>
    <n v="7"/>
    <n v="0"/>
  </r>
  <r>
    <s v="PO10450"/>
    <x v="9"/>
    <s v="Drive Unit"/>
    <x v="0"/>
    <s v="Branch E"/>
    <x v="49"/>
    <d v="2025-02-06T00:00:00"/>
    <d v="2025-02-11T00:00:00"/>
    <d v="2025-02-16T00:00:00"/>
    <x v="1"/>
    <n v="43"/>
    <n v="520.6"/>
    <n v="22385.8"/>
    <n v="16"/>
    <n v="5"/>
  </r>
  <r>
    <s v="PO10451"/>
    <x v="9"/>
    <s v="Ball Bearings"/>
    <x v="3"/>
    <s v="Branch E"/>
    <x v="1"/>
    <d v="2025-01-20T00:00:00"/>
    <d v="2025-01-22T00:00:00"/>
    <d v="2025-01-27T00:00:00"/>
    <x v="1"/>
    <n v="28"/>
    <n v="417.67"/>
    <n v="11694.76"/>
    <n v="17"/>
    <n v="2"/>
  </r>
  <r>
    <s v="PO10452"/>
    <x v="7"/>
    <s v="Automation Sensor"/>
    <x v="4"/>
    <s v="Branch E"/>
    <x v="80"/>
    <d v="2025-03-03T00:00:00"/>
    <d v="2025-03-08T00:00:00"/>
    <d v="2025-03-09T00:00:00"/>
    <x v="1"/>
    <n v="114"/>
    <n v="206.62"/>
    <n v="23554.68"/>
    <n v="13"/>
    <n v="5"/>
  </r>
  <r>
    <s v="PO10453"/>
    <x v="5"/>
    <s v="Hydraulic Pump"/>
    <x v="4"/>
    <s v="Branch E"/>
    <x v="33"/>
    <d v="2025-04-27T00:00:00"/>
    <d v="2025-05-02T00:00:00"/>
    <d v="2025-05-07T00:00:00"/>
    <x v="2"/>
    <n v="39"/>
    <n v="227.52"/>
    <n v="8873.2800000000007"/>
    <n v="19"/>
    <n v="5"/>
  </r>
  <r>
    <s v="PO10454"/>
    <x v="2"/>
    <s v="Hydraulic Pump"/>
    <x v="0"/>
    <s v="Branch A"/>
    <x v="63"/>
    <d v="2025-05-04T00:00:00"/>
    <d v="2025-05-05T00:00:00"/>
    <d v="2025-05-08T00:00:00"/>
    <x v="2"/>
    <n v="186"/>
    <n v="635.94000000000005"/>
    <n v="118284.84"/>
    <n v="12"/>
    <n v="1"/>
  </r>
  <r>
    <s v="PO10455"/>
    <x v="6"/>
    <s v="Control Valve"/>
    <x v="4"/>
    <s v="Branch E"/>
    <x v="47"/>
    <d v="2025-03-03T00:00:00"/>
    <d v="2025-03-03T00:00:00"/>
    <d v="2025-03-06T00:00:00"/>
    <x v="3"/>
    <n v="44"/>
    <n v="370.77"/>
    <n v="16313.88"/>
    <n v="13"/>
    <n v="0"/>
  </r>
  <r>
    <s v="PO10456"/>
    <x v="3"/>
    <s v="Drive Unit"/>
    <x v="1"/>
    <s v="Branch C"/>
    <x v="103"/>
    <d v="2025-03-08T00:00:00"/>
    <d v="2025-03-08T00:00:00"/>
    <d v="2025-03-13T00:00:00"/>
    <x v="3"/>
    <n v="106"/>
    <n v="645.4"/>
    <n v="68412.399999999994"/>
    <n v="12"/>
    <n v="0"/>
  </r>
  <r>
    <s v="PO10457"/>
    <x v="3"/>
    <s v="Industrial Motor"/>
    <x v="2"/>
    <s v="Branch F"/>
    <x v="117"/>
    <d v="2025-03-24T00:00:00"/>
    <d v="2025-03-25T00:00:00"/>
    <d v="2025-03-28T00:00:00"/>
    <x v="1"/>
    <n v="152"/>
    <n v="302.54000000000002"/>
    <n v="45986.080000000002"/>
    <n v="12"/>
    <n v="1"/>
  </r>
  <r>
    <s v="PO10458"/>
    <x v="1"/>
    <s v="Ball Bearings"/>
    <x v="1"/>
    <s v="Branch D"/>
    <x v="17"/>
    <d v="2025-02-09T00:00:00"/>
    <d v="2025-02-14T00:00:00"/>
    <d v="2025-02-16T00:00:00"/>
    <x v="2"/>
    <n v="135"/>
    <n v="349.47"/>
    <n v="47178.45"/>
    <n v="15"/>
    <n v="5"/>
  </r>
  <r>
    <s v="PO10459"/>
    <x v="3"/>
    <s v="Hydraulic Pump"/>
    <x v="2"/>
    <s v="Branch C"/>
    <x v="0"/>
    <d v="2025-03-26T00:00:00"/>
    <d v="2025-03-31T00:00:00"/>
    <d v="2025-04-01T00:00:00"/>
    <x v="1"/>
    <n v="125"/>
    <n v="788.09"/>
    <n v="98511.25"/>
    <n v="8"/>
    <n v="5"/>
  </r>
  <r>
    <s v="PO10460"/>
    <x v="0"/>
    <s v="Control Valve"/>
    <x v="0"/>
    <s v="Branch A"/>
    <x v="70"/>
    <d v="2025-02-06T00:00:00"/>
    <d v="2025-02-06T00:00:00"/>
    <d v="2025-02-11T00:00:00"/>
    <x v="0"/>
    <n v="107"/>
    <n v="527.66"/>
    <n v="56459.62"/>
    <n v="8"/>
    <n v="0"/>
  </r>
  <r>
    <s v="PO10461"/>
    <x v="0"/>
    <s v="Control Valve"/>
    <x v="1"/>
    <s v="Branch A"/>
    <x v="75"/>
    <d v="2025-04-15T00:00:00"/>
    <d v="2025-04-18T00:00:00"/>
    <d v="2025-04-22T00:00:00"/>
    <x v="1"/>
    <n v="56"/>
    <n v="725.22"/>
    <n v="40612.32"/>
    <n v="8"/>
    <n v="3"/>
  </r>
  <r>
    <s v="PO10462"/>
    <x v="2"/>
    <s v="Power Transmission Belt"/>
    <x v="1"/>
    <s v="Branch F"/>
    <x v="71"/>
    <d v="2025-04-23T00:00:00"/>
    <d v="2025-04-25T00:00:00"/>
    <d v="2025-04-30T00:00:00"/>
    <x v="1"/>
    <n v="162"/>
    <n v="156.52000000000001"/>
    <n v="25356.240000000002"/>
    <n v="14"/>
    <n v="2"/>
  </r>
  <r>
    <s v="PO10463"/>
    <x v="5"/>
    <s v="Ball Bearings"/>
    <x v="2"/>
    <s v="Branch A"/>
    <x v="100"/>
    <d v="2025-01-06T00:00:00"/>
    <d v="2025-01-06T00:00:00"/>
    <d v="2025-01-09T00:00:00"/>
    <x v="3"/>
    <n v="106"/>
    <n v="353.55"/>
    <n v="37476.300000000003"/>
    <n v="5"/>
    <n v="0"/>
  </r>
  <r>
    <s v="PO10464"/>
    <x v="8"/>
    <s v="Gearbox Assembly"/>
    <x v="0"/>
    <s v="Branch B"/>
    <x v="55"/>
    <d v="2025-03-19T00:00:00"/>
    <d v="2025-03-22T00:00:00"/>
    <d v="2025-03-27T00:00:00"/>
    <x v="1"/>
    <n v="94"/>
    <n v="305.14"/>
    <n v="28683.16"/>
    <n v="10"/>
    <n v="3"/>
  </r>
  <r>
    <s v="PO10465"/>
    <x v="0"/>
    <s v="Hydraulic Pump"/>
    <x v="0"/>
    <s v="Branch C"/>
    <x v="96"/>
    <d v="2025-03-09T00:00:00"/>
    <d v="2025-03-11T00:00:00"/>
    <d v="2025-03-12T00:00:00"/>
    <x v="1"/>
    <n v="109"/>
    <n v="437.71"/>
    <n v="47710.39"/>
    <n v="11"/>
    <n v="2"/>
  </r>
  <r>
    <s v="PO10466"/>
    <x v="6"/>
    <s v="Control Valve"/>
    <x v="3"/>
    <s v="Branch D"/>
    <x v="115"/>
    <d v="2025-02-17T00:00:00"/>
    <d v="2025-02-22T00:00:00"/>
    <d v="2025-02-27T00:00:00"/>
    <x v="1"/>
    <n v="142"/>
    <n v="693.98"/>
    <n v="98545.16"/>
    <n v="9"/>
    <n v="5"/>
  </r>
  <r>
    <s v="PO10467"/>
    <x v="6"/>
    <s v="Ball Bearings"/>
    <x v="3"/>
    <s v="Branch A"/>
    <x v="109"/>
    <d v="2025-03-24T00:00:00"/>
    <d v="2025-03-29T00:00:00"/>
    <d v="2025-03-31T00:00:00"/>
    <x v="1"/>
    <n v="122"/>
    <n v="584.13"/>
    <n v="71263.86"/>
    <n v="15"/>
    <n v="5"/>
  </r>
  <r>
    <s v="PO10468"/>
    <x v="3"/>
    <s v="Power Transmission Belt"/>
    <x v="0"/>
    <s v="Branch E"/>
    <x v="112"/>
    <d v="2025-02-07T00:00:00"/>
    <d v="2025-02-08T00:00:00"/>
    <d v="2025-02-10T00:00:00"/>
    <x v="1"/>
    <n v="63"/>
    <n v="683.13"/>
    <n v="43037.19"/>
    <n v="5"/>
    <n v="1"/>
  </r>
  <r>
    <s v="PO10469"/>
    <x v="1"/>
    <s v="Hydraulic Pump"/>
    <x v="0"/>
    <s v="Branch B"/>
    <x v="64"/>
    <d v="2025-01-16T00:00:00"/>
    <d v="2025-01-21T00:00:00"/>
    <d v="2025-01-24T00:00:00"/>
    <x v="1"/>
    <n v="28"/>
    <n v="348.11"/>
    <n v="9747.08"/>
    <n v="19"/>
    <n v="5"/>
  </r>
  <r>
    <s v="PO10470"/>
    <x v="5"/>
    <s v="Drive Unit"/>
    <x v="1"/>
    <s v="Branch B"/>
    <x v="15"/>
    <d v="2025-03-10T00:00:00"/>
    <d v="2025-03-10T00:00:00"/>
    <d v="2025-03-12T00:00:00"/>
    <x v="2"/>
    <n v="196"/>
    <n v="585.39"/>
    <n v="114736.44"/>
    <n v="8"/>
    <n v="0"/>
  </r>
  <r>
    <s v="PO10471"/>
    <x v="6"/>
    <s v="Power Transmission Belt"/>
    <x v="1"/>
    <s v="Branch A"/>
    <x v="22"/>
    <d v="2025-04-11T00:00:00"/>
    <d v="2025-04-16T00:00:00"/>
    <d v="2025-04-19T00:00:00"/>
    <x v="1"/>
    <n v="56"/>
    <n v="712.18"/>
    <n v="39882.080000000002"/>
    <n v="11"/>
    <n v="5"/>
  </r>
  <r>
    <s v="PO10472"/>
    <x v="2"/>
    <s v="Drive Unit"/>
    <x v="4"/>
    <s v="Branch E"/>
    <x v="82"/>
    <d v="2025-01-20T00:00:00"/>
    <d v="2025-01-23T00:00:00"/>
    <d v="2025-01-27T00:00:00"/>
    <x v="1"/>
    <n v="200"/>
    <n v="730.67"/>
    <n v="146134"/>
    <n v="7"/>
    <n v="3"/>
  </r>
  <r>
    <s v="PO10473"/>
    <x v="8"/>
    <s v="Automation Sensor"/>
    <x v="1"/>
    <s v="Branch E"/>
    <x v="62"/>
    <d v="2025-02-20T00:00:00"/>
    <d v="2025-02-22T00:00:00"/>
    <d v="2025-02-25T00:00:00"/>
    <x v="1"/>
    <n v="200"/>
    <n v="779.87"/>
    <n v="155974"/>
    <n v="12"/>
    <n v="2"/>
  </r>
  <r>
    <s v="PO10474"/>
    <x v="1"/>
    <s v="Automation Sensor"/>
    <x v="1"/>
    <s v="Branch D"/>
    <x v="25"/>
    <d v="2025-01-20T00:00:00"/>
    <d v="2025-01-22T00:00:00"/>
    <d v="2025-01-26T00:00:00"/>
    <x v="1"/>
    <n v="143"/>
    <n v="42.19"/>
    <n v="6033.17"/>
    <n v="5"/>
    <n v="2"/>
  </r>
  <r>
    <s v="PO10475"/>
    <x v="5"/>
    <s v="Automation Sensor"/>
    <x v="0"/>
    <s v="Branch A"/>
    <x v="82"/>
    <d v="2025-01-30T00:00:00"/>
    <d v="2025-02-01T00:00:00"/>
    <d v="2025-02-05T00:00:00"/>
    <x v="1"/>
    <n v="7"/>
    <n v="24.87"/>
    <n v="174.09"/>
    <n v="16"/>
    <n v="2"/>
  </r>
  <r>
    <s v="PO10476"/>
    <x v="7"/>
    <s v="Power Transmission Belt"/>
    <x v="4"/>
    <s v="Branch B"/>
    <x v="101"/>
    <d v="2025-02-19T00:00:00"/>
    <d v="2025-02-21T00:00:00"/>
    <d v="2025-02-24T00:00:00"/>
    <x v="2"/>
    <n v="72"/>
    <n v="213.01"/>
    <n v="15336.72"/>
    <n v="10"/>
    <n v="2"/>
  </r>
  <r>
    <s v="PO10477"/>
    <x v="9"/>
    <s v="Industrial Motor"/>
    <x v="0"/>
    <s v="Branch F"/>
    <x v="9"/>
    <d v="2025-03-14T00:00:00"/>
    <d v="2025-03-14T00:00:00"/>
    <d v="2025-03-18T00:00:00"/>
    <x v="3"/>
    <n v="107"/>
    <n v="248.49"/>
    <n v="26588.43"/>
    <n v="9"/>
    <n v="0"/>
  </r>
  <r>
    <s v="PO10478"/>
    <x v="3"/>
    <s v="Gearbox Assembly"/>
    <x v="1"/>
    <s v="Branch F"/>
    <x v="17"/>
    <d v="2025-02-03T00:00:00"/>
    <d v="2025-02-06T00:00:00"/>
    <d v="2025-02-09T00:00:00"/>
    <x v="1"/>
    <n v="147"/>
    <n v="375.9"/>
    <n v="55257.3"/>
    <n v="7"/>
    <n v="3"/>
  </r>
  <r>
    <s v="PO10479"/>
    <x v="0"/>
    <s v="Power Transmission Belt"/>
    <x v="3"/>
    <s v="Branch C"/>
    <x v="44"/>
    <d v="2025-01-30T00:00:00"/>
    <d v="2025-02-04T00:00:00"/>
    <d v="2025-02-05T00:00:00"/>
    <x v="2"/>
    <n v="132"/>
    <n v="127.28"/>
    <n v="16800.96"/>
    <n v="15"/>
    <n v="5"/>
  </r>
  <r>
    <s v="PO10480"/>
    <x v="2"/>
    <s v="Gearbox Assembly"/>
    <x v="4"/>
    <s v="Branch D"/>
    <x v="50"/>
    <d v="2025-02-13T00:00:00"/>
    <d v="2025-02-18T00:00:00"/>
    <d v="2025-02-23T00:00:00"/>
    <x v="2"/>
    <n v="30"/>
    <n v="591.6"/>
    <n v="17748"/>
    <n v="16"/>
    <n v="5"/>
  </r>
  <r>
    <s v="PO10481"/>
    <x v="8"/>
    <s v="Power Transmission Belt"/>
    <x v="2"/>
    <s v="Branch D"/>
    <x v="99"/>
    <d v="2025-05-01T00:00:00"/>
    <d v="2025-05-01T00:00:00"/>
    <d v="2025-05-05T00:00:00"/>
    <x v="3"/>
    <n v="97"/>
    <n v="482.89"/>
    <n v="46840.33"/>
    <n v="13"/>
    <n v="0"/>
  </r>
  <r>
    <s v="PO10482"/>
    <x v="0"/>
    <s v="Industrial Motor"/>
    <x v="4"/>
    <s v="Branch C"/>
    <x v="82"/>
    <d v="2025-01-24T00:00:00"/>
    <d v="2025-01-29T00:00:00"/>
    <d v="2025-02-03T00:00:00"/>
    <x v="2"/>
    <n v="152"/>
    <n v="557.64"/>
    <n v="84761.279999999999"/>
    <n v="13"/>
    <n v="5"/>
  </r>
  <r>
    <s v="PO10483"/>
    <x v="3"/>
    <s v="Control Valve"/>
    <x v="3"/>
    <s v="Branch F"/>
    <x v="101"/>
    <d v="2025-02-24T00:00:00"/>
    <d v="2025-02-26T00:00:00"/>
    <d v="2025-03-02T00:00:00"/>
    <x v="1"/>
    <n v="119"/>
    <n v="757.84"/>
    <n v="90182.96"/>
    <n v="15"/>
    <n v="2"/>
  </r>
  <r>
    <s v="PO10484"/>
    <x v="4"/>
    <s v="Hydraulic Pump"/>
    <x v="1"/>
    <s v="Branch C"/>
    <x v="40"/>
    <d v="2025-01-24T00:00:00"/>
    <d v="2025-01-27T00:00:00"/>
    <d v="2025-01-30T00:00:00"/>
    <x v="1"/>
    <n v="161"/>
    <n v="492.32"/>
    <n v="79263.520000000004"/>
    <n v="8"/>
    <n v="3"/>
  </r>
  <r>
    <s v="PO10485"/>
    <x v="7"/>
    <s v="Power Transmission Belt"/>
    <x v="0"/>
    <s v="Branch E"/>
    <x v="17"/>
    <d v="2025-02-07T00:00:00"/>
    <d v="2025-02-07T00:00:00"/>
    <d v="2025-02-10T00:00:00"/>
    <x v="3"/>
    <n v="106"/>
    <n v="241.49"/>
    <n v="25597.94"/>
    <n v="8"/>
    <n v="0"/>
  </r>
  <r>
    <s v="PO10486"/>
    <x v="4"/>
    <s v="Gearbox Assembly"/>
    <x v="1"/>
    <s v="Branch D"/>
    <x v="60"/>
    <d v="2025-03-08T00:00:00"/>
    <d v="2025-03-08T00:00:00"/>
    <d v="2025-03-10T00:00:00"/>
    <x v="2"/>
    <n v="65"/>
    <n v="567.79"/>
    <n v="36906.35"/>
    <n v="9"/>
    <n v="0"/>
  </r>
  <r>
    <s v="PO10487"/>
    <x v="4"/>
    <s v="Hydraulic Pump"/>
    <x v="4"/>
    <s v="Branch E"/>
    <x v="76"/>
    <d v="2025-01-18T00:00:00"/>
    <d v="2025-01-18T00:00:00"/>
    <d v="2025-01-22T00:00:00"/>
    <x v="2"/>
    <n v="106"/>
    <n v="452.53"/>
    <n v="47968.18"/>
    <n v="4"/>
    <n v="0"/>
  </r>
  <r>
    <s v="PO10488"/>
    <x v="7"/>
    <s v="Industrial Motor"/>
    <x v="1"/>
    <s v="Branch E"/>
    <x v="44"/>
    <d v="2025-01-24T00:00:00"/>
    <d v="2025-01-27T00:00:00"/>
    <d v="2025-01-31T00:00:00"/>
    <x v="1"/>
    <n v="68"/>
    <n v="630.89"/>
    <n v="42900.52"/>
    <n v="7"/>
    <n v="3"/>
  </r>
  <r>
    <s v="PO10489"/>
    <x v="7"/>
    <s v="Control Valve"/>
    <x v="0"/>
    <s v="Branch D"/>
    <x v="99"/>
    <d v="2025-04-23T00:00:00"/>
    <d v="2025-04-23T00:00:00"/>
    <d v="2025-04-24T00:00:00"/>
    <x v="3"/>
    <n v="88"/>
    <n v="736.64"/>
    <n v="64824.32"/>
    <n v="5"/>
    <n v="0"/>
  </r>
  <r>
    <s v="PO10490"/>
    <x v="6"/>
    <s v="Automation Sensor"/>
    <x v="0"/>
    <s v="Branch F"/>
    <x v="93"/>
    <d v="2025-02-01T00:00:00"/>
    <d v="2025-02-03T00:00:00"/>
    <d v="2025-02-05T00:00:00"/>
    <x v="1"/>
    <n v="121"/>
    <n v="541.91999999999996"/>
    <n v="65572.320000000007"/>
    <n v="16"/>
    <n v="2"/>
  </r>
  <r>
    <s v="PO10491"/>
    <x v="1"/>
    <s v="Automation Sensor"/>
    <x v="4"/>
    <s v="Branch B"/>
    <x v="0"/>
    <d v="2025-04-03T00:00:00"/>
    <d v="2025-04-03T00:00:00"/>
    <d v="2025-04-06T00:00:00"/>
    <x v="3"/>
    <n v="27"/>
    <n v="383.95"/>
    <n v="10366.65"/>
    <n v="11"/>
    <n v="0"/>
  </r>
  <r>
    <s v="PO10492"/>
    <x v="7"/>
    <s v="Drive Unit"/>
    <x v="4"/>
    <s v="Branch A"/>
    <x v="68"/>
    <d v="2025-02-11T00:00:00"/>
    <d v="2025-02-11T00:00:00"/>
    <d v="2025-02-16T00:00:00"/>
    <x v="0"/>
    <n v="125"/>
    <n v="461.81"/>
    <n v="57726.25"/>
    <n v="3"/>
    <n v="0"/>
  </r>
  <r>
    <s v="PO10493"/>
    <x v="5"/>
    <s v="Automation Sensor"/>
    <x v="0"/>
    <s v="Branch D"/>
    <x v="95"/>
    <d v="2025-04-18T00:00:00"/>
    <d v="2025-04-23T00:00:00"/>
    <d v="2025-04-26T00:00:00"/>
    <x v="1"/>
    <n v="6"/>
    <n v="472.76"/>
    <n v="2836.56"/>
    <n v="14"/>
    <n v="5"/>
  </r>
  <r>
    <s v="PO10494"/>
    <x v="5"/>
    <s v="Control Valve"/>
    <x v="4"/>
    <s v="Branch F"/>
    <x v="94"/>
    <d v="2025-02-26T00:00:00"/>
    <d v="2025-02-26T00:00:00"/>
    <d v="2025-03-02T00:00:00"/>
    <x v="3"/>
    <n v="25"/>
    <n v="367.57"/>
    <n v="9189.25"/>
    <n v="6"/>
    <n v="0"/>
  </r>
  <r>
    <s v="PO10495"/>
    <x v="8"/>
    <s v="Hydraulic Pump"/>
    <x v="3"/>
    <s v="Branch E"/>
    <x v="104"/>
    <d v="2025-04-17T00:00:00"/>
    <d v="2025-04-22T00:00:00"/>
    <d v="2025-04-25T00:00:00"/>
    <x v="1"/>
    <n v="22"/>
    <n v="167.31"/>
    <n v="3680.82"/>
    <n v="16"/>
    <n v="5"/>
  </r>
  <r>
    <s v="PO10496"/>
    <x v="2"/>
    <s v="Ball Bearings"/>
    <x v="1"/>
    <s v="Branch A"/>
    <x v="60"/>
    <d v="2025-03-06T00:00:00"/>
    <d v="2025-03-09T00:00:00"/>
    <d v="2025-03-14T00:00:00"/>
    <x v="1"/>
    <n v="87"/>
    <n v="31.2"/>
    <n v="2714.4"/>
    <n v="10"/>
    <n v="3"/>
  </r>
  <r>
    <s v="PO10497"/>
    <x v="5"/>
    <s v="Power Transmission Belt"/>
    <x v="3"/>
    <s v="Branch C"/>
    <x v="21"/>
    <d v="2025-02-13T00:00:00"/>
    <d v="2025-02-13T00:00:00"/>
    <d v="2025-02-17T00:00:00"/>
    <x v="0"/>
    <n v="43"/>
    <n v="27.3"/>
    <n v="1173.9000000000001"/>
    <n v="7"/>
    <n v="0"/>
  </r>
  <r>
    <s v="PO10498"/>
    <x v="9"/>
    <s v="Ball Bearings"/>
    <x v="4"/>
    <s v="Branch D"/>
    <x v="71"/>
    <d v="2025-04-26T00:00:00"/>
    <d v="2025-04-27T00:00:00"/>
    <d v="2025-04-30T00:00:00"/>
    <x v="1"/>
    <n v="13"/>
    <n v="290.76"/>
    <n v="3779.88"/>
    <n v="16"/>
    <n v="1"/>
  </r>
  <r>
    <s v="PO10499"/>
    <x v="2"/>
    <s v="Hydraulic Pump"/>
    <x v="1"/>
    <s v="Branch D"/>
    <x v="85"/>
    <d v="2025-01-21T00:00:00"/>
    <d v="2025-01-22T00:00:00"/>
    <d v="2025-01-24T00:00:00"/>
    <x v="2"/>
    <n v="69"/>
    <n v="697.4"/>
    <n v="48120.6"/>
    <n v="12"/>
    <n v="1"/>
  </r>
  <r>
    <s v="PO10500"/>
    <x v="5"/>
    <s v="Drive Unit"/>
    <x v="3"/>
    <s v="Branch F"/>
    <x v="95"/>
    <d v="2025-04-19T00:00:00"/>
    <d v="2025-04-19T00:00:00"/>
    <d v="2025-04-20T00:00:00"/>
    <x v="0"/>
    <n v="29"/>
    <n v="450.15"/>
    <n v="13054.35"/>
    <n v="10"/>
    <n v="0"/>
  </r>
  <r>
    <s v="PO10501"/>
    <x v="1"/>
    <s v="Ball Bearings"/>
    <x v="1"/>
    <s v="Branch A"/>
    <x v="81"/>
    <d v="2025-02-17T00:00:00"/>
    <d v="2025-02-17T00:00:00"/>
    <d v="2025-02-18T00:00:00"/>
    <x v="0"/>
    <n v="168"/>
    <n v="264.51"/>
    <n v="44437.68"/>
    <n v="8"/>
    <n v="0"/>
  </r>
  <r>
    <s v="PO10502"/>
    <x v="3"/>
    <s v="Gearbox Assembly"/>
    <x v="2"/>
    <s v="Branch A"/>
    <x v="14"/>
    <d v="2025-02-13T00:00:00"/>
    <d v="2025-02-14T00:00:00"/>
    <d v="2025-02-17T00:00:00"/>
    <x v="2"/>
    <n v="75"/>
    <n v="503.22"/>
    <n v="37741.5"/>
    <n v="14"/>
    <n v="1"/>
  </r>
  <r>
    <s v="PO10503"/>
    <x v="4"/>
    <s v="Gearbox Assembly"/>
    <x v="1"/>
    <s v="Branch D"/>
    <x v="36"/>
    <d v="2025-03-31T00:00:00"/>
    <d v="2025-04-03T00:00:00"/>
    <d v="2025-04-07T00:00:00"/>
    <x v="1"/>
    <n v="44"/>
    <n v="325.12"/>
    <n v="14305.28"/>
    <n v="18"/>
    <n v="3"/>
  </r>
  <r>
    <s v="PO10504"/>
    <x v="2"/>
    <s v="Power Transmission Belt"/>
    <x v="1"/>
    <s v="Branch F"/>
    <x v="54"/>
    <d v="2025-01-25T00:00:00"/>
    <d v="2025-01-27T00:00:00"/>
    <d v="2025-01-30T00:00:00"/>
    <x v="1"/>
    <n v="199"/>
    <n v="536.99"/>
    <n v="106861.01"/>
    <n v="15"/>
    <n v="2"/>
  </r>
  <r>
    <s v="PO10505"/>
    <x v="1"/>
    <s v="Drive Unit"/>
    <x v="1"/>
    <s v="Branch A"/>
    <x v="56"/>
    <d v="2025-03-25T00:00:00"/>
    <d v="2025-03-25T00:00:00"/>
    <d v="2025-03-27T00:00:00"/>
    <x v="3"/>
    <n v="147"/>
    <n v="673.45"/>
    <n v="98997.15"/>
    <n v="15"/>
    <n v="0"/>
  </r>
  <r>
    <s v="PO10506"/>
    <x v="0"/>
    <s v="Control Valve"/>
    <x v="0"/>
    <s v="Branch F"/>
    <x v="118"/>
    <d v="2025-04-08T00:00:00"/>
    <d v="2025-04-08T00:00:00"/>
    <d v="2025-04-10T00:00:00"/>
    <x v="3"/>
    <n v="129"/>
    <n v="605.03"/>
    <n v="78048.87"/>
    <n v="9"/>
    <n v="0"/>
  </r>
  <r>
    <s v="PO10507"/>
    <x v="8"/>
    <s v="Industrial Motor"/>
    <x v="2"/>
    <s v="Branch E"/>
    <x v="110"/>
    <d v="2025-03-10T00:00:00"/>
    <d v="2025-03-12T00:00:00"/>
    <d v="2025-03-14T00:00:00"/>
    <x v="1"/>
    <n v="87"/>
    <n v="626.55999999999995"/>
    <n v="54510.720000000001"/>
    <n v="8"/>
    <n v="2"/>
  </r>
  <r>
    <s v="PO10508"/>
    <x v="9"/>
    <s v="Ball Bearings"/>
    <x v="0"/>
    <s v="Branch C"/>
    <x v="44"/>
    <d v="2025-01-30T00:00:00"/>
    <d v="2025-01-30T00:00:00"/>
    <d v="2025-02-02T00:00:00"/>
    <x v="3"/>
    <n v="168"/>
    <n v="437.47"/>
    <n v="73494.960000000006"/>
    <n v="10"/>
    <n v="0"/>
  </r>
  <r>
    <s v="PO10509"/>
    <x v="5"/>
    <s v="Drive Unit"/>
    <x v="0"/>
    <s v="Branch B"/>
    <x v="75"/>
    <d v="2025-04-22T00:00:00"/>
    <d v="2025-04-22T00:00:00"/>
    <d v="2025-04-25T00:00:00"/>
    <x v="0"/>
    <n v="142"/>
    <n v="698.91"/>
    <n v="99245.22"/>
    <n v="12"/>
    <n v="0"/>
  </r>
  <r>
    <s v="PO10510"/>
    <x v="2"/>
    <s v="Industrial Motor"/>
    <x v="1"/>
    <s v="Branch A"/>
    <x v="67"/>
    <d v="2025-03-27T00:00:00"/>
    <d v="2025-03-27T00:00:00"/>
    <d v="2025-03-31T00:00:00"/>
    <x v="2"/>
    <n v="138"/>
    <n v="565.16999999999996"/>
    <n v="77993.460000000006"/>
    <n v="7"/>
    <n v="0"/>
  </r>
  <r>
    <s v="PO10511"/>
    <x v="3"/>
    <s v="Drive Unit"/>
    <x v="0"/>
    <s v="Branch E"/>
    <x v="49"/>
    <d v="2025-01-30T00:00:00"/>
    <d v="2025-01-31T00:00:00"/>
    <d v="2025-02-02T00:00:00"/>
    <x v="2"/>
    <n v="151"/>
    <n v="550.86"/>
    <n v="83179.86"/>
    <n v="5"/>
    <n v="1"/>
  </r>
  <r>
    <s v="PO10512"/>
    <x v="5"/>
    <s v="Drive Unit"/>
    <x v="2"/>
    <s v="Branch D"/>
    <x v="58"/>
    <d v="2025-04-12T00:00:00"/>
    <d v="2025-04-12T00:00:00"/>
    <d v="2025-04-13T00:00:00"/>
    <x v="3"/>
    <n v="188"/>
    <n v="74.180000000000007"/>
    <n v="13945.84"/>
    <n v="12"/>
    <n v="0"/>
  </r>
  <r>
    <s v="PO10513"/>
    <x v="6"/>
    <s v="Control Valve"/>
    <x v="0"/>
    <s v="Branch A"/>
    <x v="33"/>
    <d v="2025-04-26T00:00:00"/>
    <d v="2025-04-26T00:00:00"/>
    <d v="2025-04-29T00:00:00"/>
    <x v="3"/>
    <n v="186"/>
    <n v="63.68"/>
    <n v="11844.48"/>
    <n v="13"/>
    <n v="0"/>
  </r>
  <r>
    <s v="PO10514"/>
    <x v="4"/>
    <s v="Hydraulic Pump"/>
    <x v="1"/>
    <s v="Branch E"/>
    <x v="73"/>
    <d v="2025-04-08T00:00:00"/>
    <d v="2025-04-13T00:00:00"/>
    <d v="2025-04-16T00:00:00"/>
    <x v="2"/>
    <n v="60"/>
    <n v="817.09"/>
    <n v="49025.4"/>
    <n v="9"/>
    <n v="5"/>
  </r>
  <r>
    <s v="PO10515"/>
    <x v="0"/>
    <s v="Automation Sensor"/>
    <x v="2"/>
    <s v="Branch F"/>
    <x v="65"/>
    <d v="2025-02-25T00:00:00"/>
    <d v="2025-02-25T00:00:00"/>
    <d v="2025-03-02T00:00:00"/>
    <x v="0"/>
    <n v="50"/>
    <n v="481.28"/>
    <n v="24064"/>
    <n v="6"/>
    <n v="0"/>
  </r>
  <r>
    <s v="PO10516"/>
    <x v="9"/>
    <s v="Industrial Motor"/>
    <x v="0"/>
    <s v="Branch D"/>
    <x v="79"/>
    <d v="2025-03-23T00:00:00"/>
    <d v="2025-03-26T00:00:00"/>
    <d v="2025-03-30T00:00:00"/>
    <x v="1"/>
    <n v="114"/>
    <n v="752.16"/>
    <n v="85746.240000000005"/>
    <n v="11"/>
    <n v="3"/>
  </r>
  <r>
    <s v="PO10517"/>
    <x v="1"/>
    <s v="Power Transmission Belt"/>
    <x v="0"/>
    <s v="Branch C"/>
    <x v="66"/>
    <d v="2025-03-14T00:00:00"/>
    <d v="2025-03-17T00:00:00"/>
    <d v="2025-03-19T00:00:00"/>
    <x v="1"/>
    <n v="158"/>
    <n v="384.92"/>
    <n v="60817.36"/>
    <n v="11"/>
    <n v="3"/>
  </r>
  <r>
    <s v="PO10518"/>
    <x v="6"/>
    <s v="Gearbox Assembly"/>
    <x v="3"/>
    <s v="Branch E"/>
    <x v="52"/>
    <d v="2025-04-27T00:00:00"/>
    <d v="2025-04-28T00:00:00"/>
    <d v="2025-05-02T00:00:00"/>
    <x v="1"/>
    <n v="87"/>
    <n v="523.03"/>
    <n v="45503.61"/>
    <n v="9"/>
    <n v="1"/>
  </r>
  <r>
    <s v="PO10519"/>
    <x v="2"/>
    <s v="Control Valve"/>
    <x v="0"/>
    <s v="Branch A"/>
    <x v="4"/>
    <d v="2025-05-13T00:00:00"/>
    <d v="2025-05-13T00:00:00"/>
    <d v="2025-05-16T00:00:00"/>
    <x v="3"/>
    <n v="106"/>
    <n v="15.16"/>
    <n v="1606.96"/>
    <n v="14"/>
    <n v="0"/>
  </r>
  <r>
    <s v="PO10520"/>
    <x v="2"/>
    <s v="Control Valve"/>
    <x v="0"/>
    <s v="Branch E"/>
    <x v="53"/>
    <d v="2025-03-13T00:00:00"/>
    <d v="2025-03-13T00:00:00"/>
    <d v="2025-03-14T00:00:00"/>
    <x v="3"/>
    <n v="59"/>
    <n v="729.53"/>
    <n v="43042.27"/>
    <n v="5"/>
    <n v="0"/>
  </r>
  <r>
    <s v="PO10521"/>
    <x v="9"/>
    <s v="Control Valve"/>
    <x v="4"/>
    <s v="Branch E"/>
    <x v="117"/>
    <d v="2025-03-25T00:00:00"/>
    <d v="2025-03-27T00:00:00"/>
    <d v="2025-03-29T00:00:00"/>
    <x v="2"/>
    <n v="122"/>
    <n v="311.97000000000003"/>
    <n v="38060.339999999997"/>
    <n v="14"/>
    <n v="2"/>
  </r>
  <r>
    <s v="PO10522"/>
    <x v="4"/>
    <s v="Power Transmission Belt"/>
    <x v="3"/>
    <s v="Branch B"/>
    <x v="7"/>
    <d v="2025-02-07T00:00:00"/>
    <d v="2025-02-07T00:00:00"/>
    <d v="2025-02-10T00:00:00"/>
    <x v="0"/>
    <n v="150"/>
    <n v="781.43"/>
    <n v="117214.5"/>
    <n v="6"/>
    <n v="0"/>
  </r>
  <r>
    <s v="PO10523"/>
    <x v="8"/>
    <s v="Ball Bearings"/>
    <x v="0"/>
    <s v="Branch D"/>
    <x v="110"/>
    <d v="2025-03-18T00:00:00"/>
    <d v="2025-03-21T00:00:00"/>
    <d v="2025-03-26T00:00:00"/>
    <x v="1"/>
    <n v="29"/>
    <n v="512.02"/>
    <n v="14848.58"/>
    <n v="17"/>
    <n v="3"/>
  </r>
  <r>
    <s v="PO10524"/>
    <x v="4"/>
    <s v="Gearbox Assembly"/>
    <x v="0"/>
    <s v="Branch A"/>
    <x v="23"/>
    <d v="2025-01-26T00:00:00"/>
    <d v="2025-01-26T00:00:00"/>
    <d v="2025-01-29T00:00:00"/>
    <x v="3"/>
    <n v="116"/>
    <n v="362.8"/>
    <n v="42084.800000000003"/>
    <n v="15"/>
    <n v="0"/>
  </r>
  <r>
    <s v="PO10525"/>
    <x v="0"/>
    <s v="Industrial Motor"/>
    <x v="4"/>
    <s v="Branch E"/>
    <x v="0"/>
    <d v="2025-04-07T00:00:00"/>
    <d v="2025-04-10T00:00:00"/>
    <d v="2025-04-14T00:00:00"/>
    <x v="2"/>
    <n v="139"/>
    <n v="49.39"/>
    <n v="6865.21"/>
    <n v="18"/>
    <n v="3"/>
  </r>
  <r>
    <s v="PO10526"/>
    <x v="0"/>
    <s v="Hydraulic Pump"/>
    <x v="1"/>
    <s v="Branch D"/>
    <x v="58"/>
    <d v="2025-04-06T00:00:00"/>
    <d v="2025-04-06T00:00:00"/>
    <d v="2025-04-07T00:00:00"/>
    <x v="3"/>
    <n v="197"/>
    <n v="511.94"/>
    <n v="100852.18"/>
    <n v="6"/>
    <n v="0"/>
  </r>
  <r>
    <s v="PO10527"/>
    <x v="2"/>
    <s v="Automation Sensor"/>
    <x v="4"/>
    <s v="Branch A"/>
    <x v="57"/>
    <d v="2025-02-22T00:00:00"/>
    <d v="2025-02-23T00:00:00"/>
    <d v="2025-02-25T00:00:00"/>
    <x v="2"/>
    <n v="26"/>
    <n v="412.34"/>
    <n v="10720.84"/>
    <n v="16"/>
    <n v="1"/>
  </r>
  <r>
    <s v="PO10528"/>
    <x v="7"/>
    <s v="Automation Sensor"/>
    <x v="0"/>
    <s v="Branch B"/>
    <x v="19"/>
    <d v="2025-03-04T00:00:00"/>
    <d v="2025-03-05T00:00:00"/>
    <d v="2025-03-07T00:00:00"/>
    <x v="1"/>
    <n v="128"/>
    <n v="482.01"/>
    <n v="61697.279999999999"/>
    <n v="12"/>
    <n v="1"/>
  </r>
  <r>
    <s v="PO10529"/>
    <x v="3"/>
    <s v="Power Transmission Belt"/>
    <x v="0"/>
    <s v="Branch A"/>
    <x v="117"/>
    <d v="2025-03-25T00:00:00"/>
    <d v="2025-03-28T00:00:00"/>
    <d v="2025-04-02T00:00:00"/>
    <x v="1"/>
    <n v="23"/>
    <n v="237.32"/>
    <n v="5458.36"/>
    <n v="15"/>
    <n v="3"/>
  </r>
  <r>
    <s v="PO10530"/>
    <x v="6"/>
    <s v="Ball Bearings"/>
    <x v="4"/>
    <s v="Branch B"/>
    <x v="102"/>
    <d v="2025-01-28T00:00:00"/>
    <d v="2025-01-29T00:00:00"/>
    <d v="2025-02-02T00:00:00"/>
    <x v="1"/>
    <n v="53"/>
    <n v="282.82"/>
    <n v="14989.46"/>
    <n v="14"/>
    <n v="1"/>
  </r>
  <r>
    <s v="PO10531"/>
    <x v="5"/>
    <s v="Gearbox Assembly"/>
    <x v="4"/>
    <s v="Branch B"/>
    <x v="35"/>
    <d v="2025-02-26T00:00:00"/>
    <d v="2025-03-03T00:00:00"/>
    <d v="2025-03-07T00:00:00"/>
    <x v="1"/>
    <n v="117"/>
    <n v="52.47"/>
    <n v="6138.99"/>
    <n v="17"/>
    <n v="5"/>
  </r>
  <r>
    <s v="PO10532"/>
    <x v="6"/>
    <s v="Industrial Motor"/>
    <x v="4"/>
    <s v="Branch A"/>
    <x v="42"/>
    <d v="2025-04-21T00:00:00"/>
    <d v="2025-04-26T00:00:00"/>
    <d v="2025-04-27T00:00:00"/>
    <x v="2"/>
    <n v="18"/>
    <n v="217.95"/>
    <n v="3923.1"/>
    <n v="19"/>
    <n v="5"/>
  </r>
  <r>
    <s v="PO10533"/>
    <x v="5"/>
    <s v="Gearbox Assembly"/>
    <x v="1"/>
    <s v="Branch E"/>
    <x v="115"/>
    <d v="2025-02-27T00:00:00"/>
    <d v="2025-03-04T00:00:00"/>
    <d v="2025-03-05T00:00:00"/>
    <x v="1"/>
    <n v="125"/>
    <n v="33.99"/>
    <n v="4248.75"/>
    <n v="19"/>
    <n v="5"/>
  </r>
  <r>
    <s v="PO10534"/>
    <x v="2"/>
    <s v="Automation Sensor"/>
    <x v="0"/>
    <s v="Branch F"/>
    <x v="53"/>
    <d v="2025-03-23T00:00:00"/>
    <d v="2025-03-23T00:00:00"/>
    <d v="2025-03-28T00:00:00"/>
    <x v="3"/>
    <n v="41"/>
    <n v="595.38"/>
    <n v="24410.58"/>
    <n v="15"/>
    <n v="0"/>
  </r>
  <r>
    <s v="PO10535"/>
    <x v="2"/>
    <s v="Drive Unit"/>
    <x v="2"/>
    <s v="Branch A"/>
    <x v="105"/>
    <d v="2025-03-12T00:00:00"/>
    <d v="2025-03-12T00:00:00"/>
    <d v="2025-03-14T00:00:00"/>
    <x v="0"/>
    <n v="183"/>
    <n v="531"/>
    <n v="97173"/>
    <n v="3"/>
    <n v="0"/>
  </r>
  <r>
    <s v="PO10536"/>
    <x v="3"/>
    <s v="Hydraulic Pump"/>
    <x v="4"/>
    <s v="Branch D"/>
    <x v="65"/>
    <d v="2025-03-04T00:00:00"/>
    <d v="2025-03-04T00:00:00"/>
    <d v="2025-03-07T00:00:00"/>
    <x v="2"/>
    <n v="171"/>
    <n v="337.75"/>
    <n v="57755.25"/>
    <n v="13"/>
    <n v="0"/>
  </r>
  <r>
    <s v="PO10537"/>
    <x v="0"/>
    <s v="Ball Bearings"/>
    <x v="2"/>
    <s v="Branch B"/>
    <x v="69"/>
    <d v="2025-05-03T00:00:00"/>
    <d v="2025-05-05T00:00:00"/>
    <d v="2025-05-06T00:00:00"/>
    <x v="2"/>
    <n v="133"/>
    <n v="822.27"/>
    <n v="109361.91"/>
    <n v="14"/>
    <n v="2"/>
  </r>
  <r>
    <s v="PO10538"/>
    <x v="1"/>
    <s v="Power Transmission Belt"/>
    <x v="4"/>
    <s v="Branch B"/>
    <x v="4"/>
    <d v="2025-05-10T00:00:00"/>
    <d v="2025-05-10T00:00:00"/>
    <d v="2025-05-13T00:00:00"/>
    <x v="3"/>
    <n v="45"/>
    <n v="30.34"/>
    <n v="1365.3"/>
    <n v="11"/>
    <n v="0"/>
  </r>
  <r>
    <s v="PO10539"/>
    <x v="2"/>
    <s v="Control Valve"/>
    <x v="1"/>
    <s v="Branch B"/>
    <x v="66"/>
    <d v="2025-03-13T00:00:00"/>
    <d v="2025-03-18T00:00:00"/>
    <d v="2025-03-19T00:00:00"/>
    <x v="1"/>
    <n v="104"/>
    <n v="758.49"/>
    <n v="78882.960000000006"/>
    <n v="12"/>
    <n v="5"/>
  </r>
  <r>
    <s v="PO10540"/>
    <x v="6"/>
    <s v="Gearbox Assembly"/>
    <x v="3"/>
    <s v="Branch B"/>
    <x v="115"/>
    <d v="2025-02-22T00:00:00"/>
    <d v="2025-02-25T00:00:00"/>
    <d v="2025-02-27T00:00:00"/>
    <x v="2"/>
    <n v="102"/>
    <n v="449.8"/>
    <n v="45879.6"/>
    <n v="12"/>
    <n v="3"/>
  </r>
  <r>
    <s v="PO10541"/>
    <x v="9"/>
    <s v="Gearbox Assembly"/>
    <x v="1"/>
    <s v="Branch E"/>
    <x v="79"/>
    <d v="2025-03-20T00:00:00"/>
    <d v="2025-03-21T00:00:00"/>
    <d v="2025-03-24T00:00:00"/>
    <x v="1"/>
    <n v="89"/>
    <n v="390.06"/>
    <n v="34715.339999999997"/>
    <n v="6"/>
    <n v="1"/>
  </r>
  <r>
    <s v="PO10542"/>
    <x v="0"/>
    <s v="Industrial Motor"/>
    <x v="3"/>
    <s v="Branch B"/>
    <x v="116"/>
    <d v="2025-03-24T00:00:00"/>
    <d v="2025-03-29T00:00:00"/>
    <d v="2025-03-31T00:00:00"/>
    <x v="1"/>
    <n v="84"/>
    <n v="589.91999999999996"/>
    <n v="49553.279999999999"/>
    <n v="18"/>
    <n v="5"/>
  </r>
  <r>
    <s v="PO10543"/>
    <x v="1"/>
    <s v="Industrial Motor"/>
    <x v="2"/>
    <s v="Branch C"/>
    <x v="16"/>
    <d v="2025-04-06T00:00:00"/>
    <d v="2025-04-06T00:00:00"/>
    <d v="2025-04-09T00:00:00"/>
    <x v="0"/>
    <n v="189"/>
    <n v="113.85"/>
    <n v="21517.65"/>
    <n v="12"/>
    <n v="0"/>
  </r>
  <r>
    <s v="PO10544"/>
    <x v="8"/>
    <s v="Industrial Motor"/>
    <x v="1"/>
    <s v="Branch A"/>
    <x v="63"/>
    <d v="2025-05-02T00:00:00"/>
    <d v="2025-05-03T00:00:00"/>
    <d v="2025-05-06T00:00:00"/>
    <x v="1"/>
    <n v="168"/>
    <n v="794.26"/>
    <n v="133435.68"/>
    <n v="10"/>
    <n v="1"/>
  </r>
  <r>
    <s v="PO10545"/>
    <x v="5"/>
    <s v="Gearbox Assembly"/>
    <x v="2"/>
    <s v="Branch C"/>
    <x v="25"/>
    <d v="2025-01-22T00:00:00"/>
    <d v="2025-01-22T00:00:00"/>
    <d v="2025-01-27T00:00:00"/>
    <x v="3"/>
    <n v="161"/>
    <n v="207.81"/>
    <n v="33457.410000000003"/>
    <n v="5"/>
    <n v="0"/>
  </r>
  <r>
    <s v="PO10546"/>
    <x v="1"/>
    <s v="Industrial Motor"/>
    <x v="3"/>
    <s v="Branch D"/>
    <x v="23"/>
    <d v="2025-01-25T00:00:00"/>
    <d v="2025-01-30T00:00:00"/>
    <d v="2025-02-03T00:00:00"/>
    <x v="2"/>
    <n v="159"/>
    <n v="406.42"/>
    <n v="64620.78"/>
    <n v="19"/>
    <n v="5"/>
  </r>
  <r>
    <s v="PO10547"/>
    <x v="8"/>
    <s v="Automation Sensor"/>
    <x v="1"/>
    <s v="Branch F"/>
    <x v="15"/>
    <d v="2025-03-07T00:00:00"/>
    <d v="2025-03-07T00:00:00"/>
    <d v="2025-03-09T00:00:00"/>
    <x v="2"/>
    <n v="200"/>
    <n v="823.96"/>
    <n v="164792"/>
    <n v="5"/>
    <n v="0"/>
  </r>
  <r>
    <s v="PO10548"/>
    <x v="7"/>
    <s v="Power Transmission Belt"/>
    <x v="3"/>
    <s v="Branch B"/>
    <x v="38"/>
    <d v="2025-04-02T00:00:00"/>
    <d v="2025-04-07T00:00:00"/>
    <d v="2025-04-09T00:00:00"/>
    <x v="2"/>
    <n v="117"/>
    <n v="739.05"/>
    <n v="86468.85"/>
    <n v="11"/>
    <n v="5"/>
  </r>
  <r>
    <s v="PO10549"/>
    <x v="3"/>
    <s v="Ball Bearings"/>
    <x v="0"/>
    <s v="Branch A"/>
    <x v="103"/>
    <d v="2025-03-05T00:00:00"/>
    <d v="2025-03-10T00:00:00"/>
    <d v="2025-03-11T00:00:00"/>
    <x v="1"/>
    <n v="102"/>
    <n v="616.37"/>
    <n v="62869.74"/>
    <n v="14"/>
    <n v="5"/>
  </r>
  <r>
    <s v="PO10550"/>
    <x v="3"/>
    <s v="Ball Bearings"/>
    <x v="0"/>
    <s v="Branch D"/>
    <x v="60"/>
    <d v="2025-03-09T00:00:00"/>
    <d v="2025-03-14T00:00:00"/>
    <d v="2025-03-15T00:00:00"/>
    <x v="1"/>
    <n v="67"/>
    <n v="448.12"/>
    <n v="30024.04"/>
    <n v="15"/>
    <n v="5"/>
  </r>
  <r>
    <s v="PO10551"/>
    <x v="8"/>
    <s v="Control Valve"/>
    <x v="3"/>
    <s v="Branch B"/>
    <x v="53"/>
    <d v="2025-03-23T00:00:00"/>
    <d v="2025-03-26T00:00:00"/>
    <d v="2025-03-27T00:00:00"/>
    <x v="2"/>
    <n v="117"/>
    <n v="347.36"/>
    <n v="40641.120000000003"/>
    <n v="18"/>
    <n v="3"/>
  </r>
  <r>
    <s v="PO10552"/>
    <x v="7"/>
    <s v="Hydraulic Pump"/>
    <x v="0"/>
    <s v="Branch A"/>
    <x v="103"/>
    <d v="2025-03-03T00:00:00"/>
    <d v="2025-03-05T00:00:00"/>
    <d v="2025-03-06T00:00:00"/>
    <x v="1"/>
    <n v="41"/>
    <n v="402.09"/>
    <n v="16485.689999999999"/>
    <n v="9"/>
    <n v="2"/>
  </r>
  <r>
    <s v="PO10553"/>
    <x v="2"/>
    <s v="Industrial Motor"/>
    <x v="3"/>
    <s v="Branch E"/>
    <x v="59"/>
    <d v="2025-02-08T00:00:00"/>
    <d v="2025-02-10T00:00:00"/>
    <d v="2025-02-15T00:00:00"/>
    <x v="2"/>
    <n v="110"/>
    <n v="285.08999999999997"/>
    <n v="31359.9"/>
    <n v="17"/>
    <n v="2"/>
  </r>
  <r>
    <s v="PO10554"/>
    <x v="9"/>
    <s v="Hydraulic Pump"/>
    <x v="2"/>
    <s v="Branch A"/>
    <x v="10"/>
    <d v="2025-05-09T00:00:00"/>
    <d v="2025-05-09T00:00:00"/>
    <d v="2025-05-13T00:00:00"/>
    <x v="0"/>
    <n v="182"/>
    <n v="556.55999999999995"/>
    <n v="101293.92"/>
    <n v="14"/>
    <n v="0"/>
  </r>
  <r>
    <s v="PO10555"/>
    <x v="0"/>
    <s v="Industrial Motor"/>
    <x v="3"/>
    <s v="Branch E"/>
    <x v="83"/>
    <d v="2025-04-11T00:00:00"/>
    <d v="2025-04-14T00:00:00"/>
    <d v="2025-04-17T00:00:00"/>
    <x v="2"/>
    <n v="186"/>
    <n v="335.71"/>
    <n v="62442.06"/>
    <n v="13"/>
    <n v="3"/>
  </r>
  <r>
    <s v="PO10556"/>
    <x v="9"/>
    <s v="Industrial Motor"/>
    <x v="1"/>
    <s v="Branch B"/>
    <x v="47"/>
    <d v="2025-02-21T00:00:00"/>
    <d v="2025-02-26T00:00:00"/>
    <d v="2025-02-28T00:00:00"/>
    <x v="1"/>
    <n v="149"/>
    <n v="742.54"/>
    <n v="110638.46"/>
    <n v="8"/>
    <n v="5"/>
  </r>
  <r>
    <s v="PO10557"/>
    <x v="9"/>
    <s v="Hydraulic Pump"/>
    <x v="1"/>
    <s v="Branch B"/>
    <x v="95"/>
    <d v="2025-04-23T00:00:00"/>
    <d v="2025-04-23T00:00:00"/>
    <d v="2025-04-27T00:00:00"/>
    <x v="3"/>
    <n v="119"/>
    <n v="256.13"/>
    <n v="30479.47"/>
    <n v="14"/>
    <n v="0"/>
  </r>
  <r>
    <s v="PO10558"/>
    <x v="0"/>
    <s v="Ball Bearings"/>
    <x v="0"/>
    <s v="Branch D"/>
    <x v="100"/>
    <d v="2025-01-13T00:00:00"/>
    <d v="2025-01-18T00:00:00"/>
    <d v="2025-01-21T00:00:00"/>
    <x v="2"/>
    <n v="132"/>
    <n v="729.27"/>
    <n v="96263.64"/>
    <n v="17"/>
    <n v="5"/>
  </r>
  <r>
    <s v="PO10559"/>
    <x v="6"/>
    <s v="Ball Bearings"/>
    <x v="1"/>
    <s v="Branch E"/>
    <x v="14"/>
    <d v="2025-02-06T00:00:00"/>
    <d v="2025-02-08T00:00:00"/>
    <d v="2025-02-12T00:00:00"/>
    <x v="1"/>
    <n v="118"/>
    <n v="81.3"/>
    <n v="9593.4"/>
    <n v="8"/>
    <n v="2"/>
  </r>
  <r>
    <s v="PO10560"/>
    <x v="9"/>
    <s v="Ball Bearings"/>
    <x v="4"/>
    <s v="Branch A"/>
    <x v="89"/>
    <d v="2025-02-17T00:00:00"/>
    <d v="2025-02-20T00:00:00"/>
    <d v="2025-02-25T00:00:00"/>
    <x v="1"/>
    <n v="58"/>
    <n v="55.85"/>
    <n v="3239.3"/>
    <n v="15"/>
    <n v="3"/>
  </r>
  <r>
    <s v="PO10561"/>
    <x v="4"/>
    <s v="Ball Bearings"/>
    <x v="2"/>
    <s v="Branch D"/>
    <x v="40"/>
    <d v="2025-01-22T00:00:00"/>
    <d v="2025-01-25T00:00:00"/>
    <d v="2025-01-30T00:00:00"/>
    <x v="1"/>
    <n v="81"/>
    <n v="291.48"/>
    <n v="23609.88"/>
    <n v="6"/>
    <n v="3"/>
  </r>
  <r>
    <s v="PO10562"/>
    <x v="6"/>
    <s v="Industrial Motor"/>
    <x v="3"/>
    <s v="Branch F"/>
    <x v="108"/>
    <d v="2025-01-28T00:00:00"/>
    <d v="2025-01-31T00:00:00"/>
    <d v="2025-02-03T00:00:00"/>
    <x v="1"/>
    <n v="182"/>
    <n v="599.37"/>
    <n v="109085.34"/>
    <n v="8"/>
    <n v="3"/>
  </r>
  <r>
    <s v="PO10563"/>
    <x v="3"/>
    <s v="Hydraulic Pump"/>
    <x v="4"/>
    <s v="Branch D"/>
    <x v="36"/>
    <d v="2025-03-24T00:00:00"/>
    <d v="2025-03-24T00:00:00"/>
    <d v="2025-03-25T00:00:00"/>
    <x v="3"/>
    <n v="102"/>
    <n v="699.92"/>
    <n v="71391.839999999997"/>
    <n v="8"/>
    <n v="0"/>
  </r>
  <r>
    <s v="PO10564"/>
    <x v="5"/>
    <s v="Ball Bearings"/>
    <x v="2"/>
    <s v="Branch E"/>
    <x v="93"/>
    <d v="2025-01-22T00:00:00"/>
    <d v="2025-01-25T00:00:00"/>
    <d v="2025-01-28T00:00:00"/>
    <x v="1"/>
    <n v="110"/>
    <n v="453.08"/>
    <n v="49838.8"/>
    <n v="7"/>
    <n v="3"/>
  </r>
  <r>
    <s v="PO10565"/>
    <x v="8"/>
    <s v="Automation Sensor"/>
    <x v="0"/>
    <s v="Branch C"/>
    <x v="73"/>
    <d v="2025-04-17T00:00:00"/>
    <d v="2025-04-19T00:00:00"/>
    <d v="2025-04-20T00:00:00"/>
    <x v="1"/>
    <n v="181"/>
    <n v="519.99"/>
    <n v="94118.19"/>
    <n v="15"/>
    <n v="2"/>
  </r>
  <r>
    <s v="PO10566"/>
    <x v="7"/>
    <s v="Drive Unit"/>
    <x v="3"/>
    <s v="Branch B"/>
    <x v="112"/>
    <d v="2025-02-14T00:00:00"/>
    <d v="2025-02-16T00:00:00"/>
    <d v="2025-02-21T00:00:00"/>
    <x v="1"/>
    <n v="38"/>
    <n v="527.92999999999995"/>
    <n v="20061.34"/>
    <n v="13"/>
    <n v="2"/>
  </r>
  <r>
    <s v="PO10567"/>
    <x v="4"/>
    <s v="Gearbox Assembly"/>
    <x v="0"/>
    <s v="Branch D"/>
    <x v="114"/>
    <d v="2025-05-06T00:00:00"/>
    <d v="2025-05-06T00:00:00"/>
    <d v="2025-05-09T00:00:00"/>
    <x v="2"/>
    <n v="11"/>
    <n v="403.18"/>
    <n v="4434.9799999999996"/>
    <n v="12"/>
    <n v="0"/>
  </r>
  <r>
    <s v="PO10568"/>
    <x v="8"/>
    <s v="Hydraulic Pump"/>
    <x v="4"/>
    <s v="Branch C"/>
    <x v="20"/>
    <d v="2025-02-25T00:00:00"/>
    <d v="2025-02-25T00:00:00"/>
    <d v="2025-02-28T00:00:00"/>
    <x v="2"/>
    <n v="56"/>
    <n v="591.16"/>
    <n v="33104.959999999999"/>
    <n v="3"/>
    <n v="0"/>
  </r>
  <r>
    <s v="PO10569"/>
    <x v="6"/>
    <s v="Ball Bearings"/>
    <x v="1"/>
    <s v="Branch B"/>
    <x v="66"/>
    <d v="2025-03-17T00:00:00"/>
    <d v="2025-03-17T00:00:00"/>
    <d v="2025-03-18T00:00:00"/>
    <x v="0"/>
    <n v="92"/>
    <n v="345.7"/>
    <n v="31804.400000000001"/>
    <n v="11"/>
    <n v="0"/>
  </r>
  <r>
    <s v="PO10570"/>
    <x v="7"/>
    <s v="Industrial Motor"/>
    <x v="3"/>
    <s v="Branch E"/>
    <x v="97"/>
    <d v="2025-02-20T00:00:00"/>
    <d v="2025-02-23T00:00:00"/>
    <d v="2025-02-27T00:00:00"/>
    <x v="1"/>
    <n v="14"/>
    <n v="554.12"/>
    <n v="7757.68"/>
    <n v="11"/>
    <n v="3"/>
  </r>
  <r>
    <s v="PO10571"/>
    <x v="8"/>
    <s v="Power Transmission Belt"/>
    <x v="0"/>
    <s v="Branch E"/>
    <x v="10"/>
    <d v="2025-05-03T00:00:00"/>
    <d v="2025-05-04T00:00:00"/>
    <d v="2025-05-08T00:00:00"/>
    <x v="1"/>
    <n v="19"/>
    <n v="712.31"/>
    <n v="13533.89"/>
    <n v="9"/>
    <n v="1"/>
  </r>
  <r>
    <s v="PO10572"/>
    <x v="9"/>
    <s v="Control Valve"/>
    <x v="2"/>
    <s v="Branch C"/>
    <x v="48"/>
    <d v="2025-01-09T00:00:00"/>
    <d v="2025-01-11T00:00:00"/>
    <d v="2025-01-14T00:00:00"/>
    <x v="1"/>
    <n v="95"/>
    <n v="70.290000000000006"/>
    <n v="6677.55"/>
    <n v="8"/>
    <n v="2"/>
  </r>
  <r>
    <s v="PO10573"/>
    <x v="4"/>
    <s v="Control Valve"/>
    <x v="4"/>
    <s v="Branch F"/>
    <x v="47"/>
    <d v="2025-03-03T00:00:00"/>
    <d v="2025-03-05T00:00:00"/>
    <d v="2025-03-07T00:00:00"/>
    <x v="1"/>
    <n v="104"/>
    <n v="171.46"/>
    <n v="17831.84"/>
    <n v="15"/>
    <n v="2"/>
  </r>
  <r>
    <s v="PO10574"/>
    <x v="8"/>
    <s v="Gearbox Assembly"/>
    <x v="0"/>
    <s v="Branch C"/>
    <x v="1"/>
    <d v="2025-01-12T00:00:00"/>
    <d v="2025-01-13T00:00:00"/>
    <d v="2025-01-14T00:00:00"/>
    <x v="1"/>
    <n v="65"/>
    <n v="325.27"/>
    <n v="21142.55"/>
    <n v="8"/>
    <n v="1"/>
  </r>
  <r>
    <s v="PO10575"/>
    <x v="7"/>
    <s v="Industrial Motor"/>
    <x v="1"/>
    <s v="Branch C"/>
    <x v="108"/>
    <d v="2025-01-27T00:00:00"/>
    <d v="2025-01-27T00:00:00"/>
    <d v="2025-01-28T00:00:00"/>
    <x v="0"/>
    <n v="118"/>
    <n v="437.51"/>
    <n v="51626.18"/>
    <n v="4"/>
    <n v="0"/>
  </r>
  <r>
    <s v="PO10576"/>
    <x v="4"/>
    <s v="Industrial Motor"/>
    <x v="1"/>
    <s v="Branch F"/>
    <x v="4"/>
    <d v="2025-05-09T00:00:00"/>
    <d v="2025-05-12T00:00:00"/>
    <d v="2025-05-17T00:00:00"/>
    <x v="1"/>
    <n v="88"/>
    <n v="134.65"/>
    <n v="11849.2"/>
    <n v="13"/>
    <n v="3"/>
  </r>
  <r>
    <s v="PO10577"/>
    <x v="6"/>
    <s v="Hydraulic Pump"/>
    <x v="4"/>
    <s v="Branch D"/>
    <x v="1"/>
    <d v="2025-01-15T00:00:00"/>
    <d v="2025-01-16T00:00:00"/>
    <d v="2025-01-21T00:00:00"/>
    <x v="2"/>
    <n v="84"/>
    <n v="793.5"/>
    <n v="66654"/>
    <n v="11"/>
    <n v="1"/>
  </r>
  <r>
    <s v="PO10578"/>
    <x v="5"/>
    <s v="Power Transmission Belt"/>
    <x v="1"/>
    <s v="Branch B"/>
    <x v="114"/>
    <d v="2025-04-27T00:00:00"/>
    <d v="2025-04-27T00:00:00"/>
    <d v="2025-05-02T00:00:00"/>
    <x v="2"/>
    <n v="199"/>
    <n v="275.64"/>
    <n v="54852.36"/>
    <n v="3"/>
    <n v="0"/>
  </r>
  <r>
    <s v="PO10579"/>
    <x v="9"/>
    <s v="Industrial Motor"/>
    <x v="4"/>
    <s v="Branch A"/>
    <x v="21"/>
    <d v="2025-02-13T00:00:00"/>
    <d v="2025-02-15T00:00:00"/>
    <d v="2025-02-18T00:00:00"/>
    <x v="1"/>
    <n v="176"/>
    <n v="113.24"/>
    <n v="19930.240000000002"/>
    <n v="9"/>
    <n v="2"/>
  </r>
  <r>
    <s v="PO10580"/>
    <x v="1"/>
    <s v="Control Valve"/>
    <x v="1"/>
    <s v="Branch F"/>
    <x v="64"/>
    <d v="2025-01-14T00:00:00"/>
    <d v="2025-01-16T00:00:00"/>
    <d v="2025-01-21T00:00:00"/>
    <x v="2"/>
    <n v="143"/>
    <n v="307.52"/>
    <n v="43975.360000000001"/>
    <n v="14"/>
    <n v="2"/>
  </r>
  <r>
    <s v="PO10581"/>
    <x v="1"/>
    <s v="Drive Unit"/>
    <x v="2"/>
    <s v="Branch B"/>
    <x v="33"/>
    <d v="2025-04-20T00:00:00"/>
    <d v="2025-04-22T00:00:00"/>
    <d v="2025-04-24T00:00:00"/>
    <x v="2"/>
    <n v="84"/>
    <n v="527.07000000000005"/>
    <n v="44273.88"/>
    <n v="9"/>
    <n v="2"/>
  </r>
  <r>
    <s v="PO10582"/>
    <x v="3"/>
    <s v="Industrial Motor"/>
    <x v="0"/>
    <s v="Branch E"/>
    <x v="90"/>
    <d v="2025-01-14T00:00:00"/>
    <d v="2025-01-17T00:00:00"/>
    <d v="2025-01-18T00:00:00"/>
    <x v="2"/>
    <n v="18"/>
    <n v="86.91"/>
    <n v="1564.38"/>
    <n v="13"/>
    <n v="3"/>
  </r>
  <r>
    <s v="PO10583"/>
    <x v="5"/>
    <s v="Hydraulic Pump"/>
    <x v="3"/>
    <s v="Branch E"/>
    <x v="11"/>
    <d v="2025-04-05T00:00:00"/>
    <d v="2025-04-08T00:00:00"/>
    <d v="2025-04-12T00:00:00"/>
    <x v="1"/>
    <n v="84"/>
    <n v="292.5"/>
    <n v="24570"/>
    <n v="17"/>
    <n v="3"/>
  </r>
  <r>
    <s v="PO10584"/>
    <x v="7"/>
    <s v="Drive Unit"/>
    <x v="1"/>
    <s v="Branch B"/>
    <x v="25"/>
    <d v="2025-01-21T00:00:00"/>
    <d v="2025-01-26T00:00:00"/>
    <d v="2025-01-30T00:00:00"/>
    <x v="2"/>
    <n v="84"/>
    <n v="586.54"/>
    <n v="49269.36"/>
    <n v="9"/>
    <n v="5"/>
  </r>
  <r>
    <s v="PO10585"/>
    <x v="1"/>
    <s v="Drive Unit"/>
    <x v="3"/>
    <s v="Branch A"/>
    <x v="40"/>
    <d v="2025-01-31T00:00:00"/>
    <d v="2025-01-31T00:00:00"/>
    <d v="2025-02-03T00:00:00"/>
    <x v="2"/>
    <n v="175"/>
    <n v="290.82"/>
    <n v="50893.5"/>
    <n v="12"/>
    <n v="0"/>
  </r>
  <r>
    <s v="PO10586"/>
    <x v="1"/>
    <s v="Industrial Motor"/>
    <x v="0"/>
    <s v="Branch A"/>
    <x v="106"/>
    <d v="2025-01-19T00:00:00"/>
    <d v="2025-01-19T00:00:00"/>
    <d v="2025-01-22T00:00:00"/>
    <x v="3"/>
    <n v="48"/>
    <n v="250.68"/>
    <n v="12032.64"/>
    <n v="10"/>
    <n v="0"/>
  </r>
  <r>
    <s v="PO10587"/>
    <x v="8"/>
    <s v="Drive Unit"/>
    <x v="3"/>
    <s v="Branch E"/>
    <x v="19"/>
    <d v="2025-03-07T00:00:00"/>
    <d v="2025-03-12T00:00:00"/>
    <d v="2025-03-13T00:00:00"/>
    <x v="1"/>
    <n v="171"/>
    <n v="74.22"/>
    <n v="12691.62"/>
    <n v="19"/>
    <n v="5"/>
  </r>
  <r>
    <s v="PO10588"/>
    <x v="1"/>
    <s v="Gearbox Assembly"/>
    <x v="0"/>
    <s v="Branch D"/>
    <x v="20"/>
    <d v="2025-02-28T00:00:00"/>
    <d v="2025-03-02T00:00:00"/>
    <d v="2025-03-04T00:00:00"/>
    <x v="1"/>
    <n v="128"/>
    <n v="335.49"/>
    <n v="42942.720000000001"/>
    <n v="8"/>
    <n v="2"/>
  </r>
  <r>
    <s v="PO10589"/>
    <x v="4"/>
    <s v="Drive Unit"/>
    <x v="2"/>
    <s v="Branch E"/>
    <x v="71"/>
    <d v="2025-04-20T00:00:00"/>
    <d v="2025-04-22T00:00:00"/>
    <d v="2025-04-25T00:00:00"/>
    <x v="1"/>
    <n v="65"/>
    <n v="159.53"/>
    <n v="10369.450000000001"/>
    <n v="11"/>
    <n v="2"/>
  </r>
  <r>
    <s v="PO10590"/>
    <x v="3"/>
    <s v="Hydraulic Pump"/>
    <x v="0"/>
    <s v="Branch A"/>
    <x v="51"/>
    <d v="2025-03-28T00:00:00"/>
    <d v="2025-03-28T00:00:00"/>
    <d v="2025-04-02T00:00:00"/>
    <x v="0"/>
    <n v="50"/>
    <n v="272.20999999999998"/>
    <n v="13610.5"/>
    <n v="10"/>
    <n v="0"/>
  </r>
  <r>
    <s v="PO10591"/>
    <x v="4"/>
    <s v="Gearbox Assembly"/>
    <x v="1"/>
    <s v="Branch E"/>
    <x v="12"/>
    <d v="2025-04-10T00:00:00"/>
    <d v="2025-04-15T00:00:00"/>
    <d v="2025-04-19T00:00:00"/>
    <x v="1"/>
    <n v="170"/>
    <n v="566.24"/>
    <n v="96260.800000000003"/>
    <n v="17"/>
    <n v="5"/>
  </r>
  <r>
    <s v="PO10592"/>
    <x v="0"/>
    <s v="Control Valve"/>
    <x v="3"/>
    <s v="Branch E"/>
    <x v="45"/>
    <d v="2025-05-11T00:00:00"/>
    <d v="2025-05-14T00:00:00"/>
    <d v="2025-05-15T00:00:00"/>
    <x v="1"/>
    <n v="174"/>
    <n v="139.6"/>
    <n v="24290.400000000001"/>
    <n v="18"/>
    <n v="3"/>
  </r>
  <r>
    <s v="PO10593"/>
    <x v="3"/>
    <s v="Power Transmission Belt"/>
    <x v="2"/>
    <s v="Branch E"/>
    <x v="79"/>
    <d v="2025-03-25T00:00:00"/>
    <d v="2025-03-25T00:00:00"/>
    <d v="2025-03-27T00:00:00"/>
    <x v="3"/>
    <n v="178"/>
    <n v="269.3"/>
    <n v="47935.4"/>
    <n v="10"/>
    <n v="0"/>
  </r>
  <r>
    <s v="PO10594"/>
    <x v="0"/>
    <s v="Ball Bearings"/>
    <x v="2"/>
    <s v="Branch F"/>
    <x v="64"/>
    <d v="2025-01-14T00:00:00"/>
    <d v="2025-01-16T00:00:00"/>
    <d v="2025-01-20T00:00:00"/>
    <x v="1"/>
    <n v="80"/>
    <n v="67.11"/>
    <n v="5368.8"/>
    <n v="14"/>
    <n v="2"/>
  </r>
  <r>
    <s v="PO10595"/>
    <x v="1"/>
    <s v="Automation Sensor"/>
    <x v="3"/>
    <s v="Branch D"/>
    <x v="117"/>
    <d v="2025-03-21T00:00:00"/>
    <d v="2025-03-21T00:00:00"/>
    <d v="2025-03-24T00:00:00"/>
    <x v="0"/>
    <n v="184"/>
    <n v="507.79"/>
    <n v="93433.36"/>
    <n v="8"/>
    <n v="0"/>
  </r>
  <r>
    <s v="PO10596"/>
    <x v="1"/>
    <s v="Automation Sensor"/>
    <x v="1"/>
    <s v="Branch C"/>
    <x v="84"/>
    <d v="2025-03-08T00:00:00"/>
    <d v="2025-03-08T00:00:00"/>
    <d v="2025-03-10T00:00:00"/>
    <x v="2"/>
    <n v="147"/>
    <n v="336.14"/>
    <n v="49412.58"/>
    <n v="11"/>
    <n v="0"/>
  </r>
  <r>
    <s v="PO10597"/>
    <x v="7"/>
    <s v="Automation Sensor"/>
    <x v="1"/>
    <s v="Branch A"/>
    <x v="72"/>
    <d v="2025-05-05T00:00:00"/>
    <d v="2025-05-05T00:00:00"/>
    <d v="2025-05-07T00:00:00"/>
    <x v="2"/>
    <n v="9"/>
    <n v="135.24"/>
    <n v="1217.1600000000001"/>
    <n v="13"/>
    <n v="0"/>
  </r>
  <r>
    <s v="PO10598"/>
    <x v="3"/>
    <s v="Industrial Motor"/>
    <x v="3"/>
    <s v="Branch E"/>
    <x v="93"/>
    <d v="2025-01-31T00:00:00"/>
    <d v="2025-02-05T00:00:00"/>
    <d v="2025-02-09T00:00:00"/>
    <x v="1"/>
    <n v="183"/>
    <n v="519.70000000000005"/>
    <n v="95105.1"/>
    <n v="18"/>
    <n v="5"/>
  </r>
  <r>
    <s v="PO10599"/>
    <x v="6"/>
    <s v="Ball Bearings"/>
    <x v="0"/>
    <s v="Branch D"/>
    <x v="103"/>
    <d v="2025-03-07T00:00:00"/>
    <d v="2025-03-12T00:00:00"/>
    <d v="2025-03-16T00:00:00"/>
    <x v="1"/>
    <n v="62"/>
    <n v="170.14"/>
    <n v="10548.68"/>
    <n v="16"/>
    <n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5">
  <r>
    <s v="PO10002"/>
    <x v="0"/>
    <s v="Control Valve"/>
    <s v="Dallas DC"/>
    <s v="Branch B"/>
    <x v="0"/>
    <d v="2025-03-24T00:00:00"/>
    <d v="2025-03-29T00:00:00"/>
    <d v="2025-03-30T00:00:00"/>
    <x v="0"/>
    <n v="45"/>
    <n v="597.95000000000005"/>
    <n v="26907.75"/>
    <n v="12"/>
    <n v="5"/>
  </r>
  <r>
    <s v="PO10005"/>
    <x v="1"/>
    <s v="Control Valve"/>
    <s v="Phoenix DC"/>
    <s v="Branch F"/>
    <x v="1"/>
    <d v="2025-04-01T00:00:00"/>
    <d v="2025-04-06T00:00:00"/>
    <d v="2025-04-09T00:00:00"/>
    <x v="0"/>
    <n v="64"/>
    <n v="738.51"/>
    <n v="47264.639999999999"/>
    <n v="11"/>
    <n v="5"/>
  </r>
  <r>
    <s v="PO10007"/>
    <x v="2"/>
    <s v="Power Transmission Belt"/>
    <s v="Atlanta DC"/>
    <s v="Branch B"/>
    <x v="2"/>
    <d v="2025-02-06T00:00:00"/>
    <d v="2025-02-07T00:00:00"/>
    <d v="2025-02-11T00:00:00"/>
    <x v="0"/>
    <n v="168"/>
    <n v="589.62"/>
    <n v="99056.16"/>
    <n v="6"/>
    <n v="1"/>
  </r>
  <r>
    <s v="PO10008"/>
    <x v="3"/>
    <s v="Power Transmission Belt"/>
    <s v="Dallas DC"/>
    <s v="Branch F"/>
    <x v="3"/>
    <d v="2025-04-19T00:00:00"/>
    <d v="2025-04-24T00:00:00"/>
    <d v="2025-04-27T00:00:00"/>
    <x v="0"/>
    <n v="21"/>
    <n v="191.17"/>
    <n v="4014.57"/>
    <n v="8"/>
    <n v="5"/>
  </r>
  <r>
    <s v="PO10010"/>
    <x v="4"/>
    <s v="Ball Bearings"/>
    <s v="Atlanta DC"/>
    <s v="Branch B"/>
    <x v="4"/>
    <d v="2025-05-07T00:00:00"/>
    <d v="2025-05-08T00:00:00"/>
    <d v="2025-05-11T00:00:00"/>
    <x v="0"/>
    <n v="40"/>
    <n v="440.45"/>
    <n v="17618"/>
    <n v="13"/>
    <n v="1"/>
  </r>
  <r>
    <s v="PO10011"/>
    <x v="5"/>
    <s v="Control Valve"/>
    <s v="Orlando DC"/>
    <s v="Branch A"/>
    <x v="5"/>
    <d v="2025-03-27T00:00:00"/>
    <d v="2025-04-01T00:00:00"/>
    <d v="2025-04-05T00:00:00"/>
    <x v="0"/>
    <n v="103"/>
    <n v="333.65"/>
    <n v="34365.949999999997"/>
    <n v="10"/>
    <n v="5"/>
  </r>
  <r>
    <s v="PO10014"/>
    <x v="6"/>
    <s v="Hydraulic Pump"/>
    <s v="Chicago DC"/>
    <s v="Branch C"/>
    <x v="6"/>
    <d v="2025-04-13T00:00:00"/>
    <d v="2025-04-15T00:00:00"/>
    <d v="2025-04-20T00:00:00"/>
    <x v="0"/>
    <n v="158"/>
    <n v="285.67"/>
    <n v="45135.86"/>
    <n v="7"/>
    <n v="2"/>
  </r>
  <r>
    <s v="PO10017"/>
    <x v="0"/>
    <s v="Ball Bearings"/>
    <s v="Orlando DC"/>
    <s v="Branch E"/>
    <x v="7"/>
    <d v="2025-04-02T00:00:00"/>
    <d v="2025-04-03T00:00:00"/>
    <d v="2025-04-08T00:00:00"/>
    <x v="0"/>
    <n v="68"/>
    <n v="202.62"/>
    <n v="13778.16"/>
    <n v="9"/>
    <n v="1"/>
  </r>
  <r>
    <s v="PO10019"/>
    <x v="3"/>
    <s v="Drive Unit"/>
    <s v="Dallas DC"/>
    <s v="Branch D"/>
    <x v="8"/>
    <d v="2025-02-07T00:00:00"/>
    <d v="2025-02-10T00:00:00"/>
    <d v="2025-02-14T00:00:00"/>
    <x v="0"/>
    <n v="38"/>
    <n v="619"/>
    <n v="23522"/>
    <n v="10"/>
    <n v="3"/>
  </r>
  <r>
    <s v="PO10023"/>
    <x v="6"/>
    <s v="Automation Sensor"/>
    <s v="Chicago DC"/>
    <s v="Branch D"/>
    <x v="9"/>
    <d v="2025-03-04T00:00:00"/>
    <d v="2025-03-05T00:00:00"/>
    <d v="2025-03-07T00:00:00"/>
    <x v="0"/>
    <n v="20"/>
    <n v="152.47"/>
    <n v="3049.4"/>
    <n v="11"/>
    <n v="1"/>
  </r>
  <r>
    <s v="PO10024"/>
    <x v="7"/>
    <s v="Gearbox Assembly"/>
    <s v="Atlanta DC"/>
    <s v="Branch E"/>
    <x v="10"/>
    <d v="2025-02-15T00:00:00"/>
    <d v="2025-02-18T00:00:00"/>
    <d v="2025-02-23T00:00:00"/>
    <x v="0"/>
    <n v="129"/>
    <n v="144.26"/>
    <n v="18609.54"/>
    <n v="12"/>
    <n v="3"/>
  </r>
  <r>
    <s v="PO10028"/>
    <x v="6"/>
    <s v="Drive Unit"/>
    <s v="Orlando DC"/>
    <s v="Branch E"/>
    <x v="11"/>
    <d v="2025-01-30T00:00:00"/>
    <d v="2025-02-02T00:00:00"/>
    <d v="2025-02-05T00:00:00"/>
    <x v="0"/>
    <n v="197"/>
    <n v="796.34"/>
    <n v="156878.98000000001"/>
    <n v="16"/>
    <n v="3"/>
  </r>
  <r>
    <s v="PO10029"/>
    <x v="4"/>
    <s v="Gearbox Assembly"/>
    <s v="Chicago DC"/>
    <s v="Branch C"/>
    <x v="12"/>
    <d v="2025-01-17T00:00:00"/>
    <d v="2025-01-19T00:00:00"/>
    <d v="2025-01-21T00:00:00"/>
    <x v="0"/>
    <n v="38"/>
    <n v="794.27"/>
    <n v="30182.26"/>
    <n v="6"/>
    <n v="2"/>
  </r>
  <r>
    <s v="PO10030"/>
    <x v="8"/>
    <s v="Ball Bearings"/>
    <s v="Orlando DC"/>
    <s v="Branch C"/>
    <x v="13"/>
    <d v="2025-01-31T00:00:00"/>
    <d v="2025-02-05T00:00:00"/>
    <d v="2025-02-10T00:00:00"/>
    <x v="0"/>
    <n v="161"/>
    <n v="836.52"/>
    <n v="134679.72"/>
    <n v="15"/>
    <n v="5"/>
  </r>
  <r>
    <s v="PO10035"/>
    <x v="4"/>
    <s v="Power Transmission Belt"/>
    <s v="Orlando DC"/>
    <s v="Branch D"/>
    <x v="14"/>
    <d v="2025-03-03T00:00:00"/>
    <d v="2025-03-08T00:00:00"/>
    <d v="2025-03-09T00:00:00"/>
    <x v="0"/>
    <n v="58"/>
    <n v="584.53"/>
    <n v="33902.74"/>
    <n v="20"/>
    <n v="5"/>
  </r>
  <r>
    <s v="PO10037"/>
    <x v="6"/>
    <s v="Drive Unit"/>
    <s v="Dallas DC"/>
    <s v="Branch B"/>
    <x v="15"/>
    <d v="2025-04-26T00:00:00"/>
    <d v="2025-05-01T00:00:00"/>
    <d v="2025-05-03T00:00:00"/>
    <x v="0"/>
    <n v="184"/>
    <n v="105.26"/>
    <n v="19367.84"/>
    <n v="18"/>
    <n v="5"/>
  </r>
  <r>
    <s v="PO10039"/>
    <x v="6"/>
    <s v="Hydraulic Pump"/>
    <s v="Chicago DC"/>
    <s v="Branch B"/>
    <x v="16"/>
    <d v="2025-02-27T00:00:00"/>
    <d v="2025-03-01T00:00:00"/>
    <d v="2025-03-05T00:00:00"/>
    <x v="0"/>
    <n v="142"/>
    <n v="291.51"/>
    <n v="41394.42"/>
    <n v="15"/>
    <n v="2"/>
  </r>
  <r>
    <s v="PO10042"/>
    <x v="7"/>
    <s v="Control Valve"/>
    <s v="Phoenix DC"/>
    <s v="Branch C"/>
    <x v="17"/>
    <d v="2025-04-04T00:00:00"/>
    <d v="2025-04-06T00:00:00"/>
    <d v="2025-04-09T00:00:00"/>
    <x v="0"/>
    <n v="36"/>
    <n v="615.99"/>
    <n v="22175.64"/>
    <n v="10"/>
    <n v="2"/>
  </r>
  <r>
    <s v="PO10045"/>
    <x v="4"/>
    <s v="Control Valve"/>
    <s v="Orlando DC"/>
    <s v="Branch F"/>
    <x v="18"/>
    <d v="2025-04-03T00:00:00"/>
    <d v="2025-04-05T00:00:00"/>
    <d v="2025-04-09T00:00:00"/>
    <x v="0"/>
    <n v="193"/>
    <n v="156.69"/>
    <n v="30241.17"/>
    <n v="8"/>
    <n v="2"/>
  </r>
  <r>
    <s v="PO10047"/>
    <x v="1"/>
    <s v="Drive Unit"/>
    <s v="Phoenix DC"/>
    <s v="Branch B"/>
    <x v="19"/>
    <d v="2025-03-14T00:00:00"/>
    <d v="2025-03-19T00:00:00"/>
    <d v="2025-03-20T00:00:00"/>
    <x v="0"/>
    <n v="166"/>
    <n v="495.69"/>
    <n v="82284.539999999994"/>
    <n v="17"/>
    <n v="5"/>
  </r>
  <r>
    <s v="PO10048"/>
    <x v="2"/>
    <s v="Industrial Motor"/>
    <s v="Orlando DC"/>
    <s v="Branch D"/>
    <x v="20"/>
    <d v="2025-02-01T00:00:00"/>
    <d v="2025-02-04T00:00:00"/>
    <d v="2025-02-05T00:00:00"/>
    <x v="0"/>
    <n v="32"/>
    <n v="664.98"/>
    <n v="21279.360000000001"/>
    <n v="16"/>
    <n v="3"/>
  </r>
  <r>
    <s v="PO10050"/>
    <x v="9"/>
    <s v="Drive Unit"/>
    <s v="Phoenix DC"/>
    <s v="Branch C"/>
    <x v="21"/>
    <d v="2025-04-29T00:00:00"/>
    <d v="2025-05-01T00:00:00"/>
    <d v="2025-05-05T00:00:00"/>
    <x v="0"/>
    <n v="145"/>
    <n v="387.34"/>
    <n v="56164.3"/>
    <n v="16"/>
    <n v="2"/>
  </r>
  <r>
    <s v="PO10051"/>
    <x v="2"/>
    <s v="Control Valve"/>
    <s v="Phoenix DC"/>
    <s v="Branch A"/>
    <x v="22"/>
    <d v="2025-04-13T00:00:00"/>
    <d v="2025-04-18T00:00:00"/>
    <d v="2025-04-21T00:00:00"/>
    <x v="0"/>
    <n v="138"/>
    <n v="419.64"/>
    <n v="57910.32"/>
    <n v="11"/>
    <n v="5"/>
  </r>
  <r>
    <s v="PO10054"/>
    <x v="5"/>
    <s v="Ball Bearings"/>
    <s v="Chicago DC"/>
    <s v="Branch C"/>
    <x v="23"/>
    <d v="2025-05-11T00:00:00"/>
    <d v="2025-05-13T00:00:00"/>
    <d v="2025-05-14T00:00:00"/>
    <x v="0"/>
    <n v="200"/>
    <n v="495.7"/>
    <n v="99140"/>
    <n v="17"/>
    <n v="2"/>
  </r>
  <r>
    <s v="PO10055"/>
    <x v="3"/>
    <s v="Gearbox Assembly"/>
    <s v="Phoenix DC"/>
    <s v="Branch B"/>
    <x v="22"/>
    <d v="2025-04-16T00:00:00"/>
    <d v="2025-04-21T00:00:00"/>
    <d v="2025-04-25T00:00:00"/>
    <x v="0"/>
    <n v="193"/>
    <n v="471.02"/>
    <n v="90906.86"/>
    <n v="14"/>
    <n v="5"/>
  </r>
  <r>
    <s v="PO10056"/>
    <x v="1"/>
    <s v="Industrial Motor"/>
    <s v="Phoenix DC"/>
    <s v="Branch B"/>
    <x v="24"/>
    <d v="2025-02-13T00:00:00"/>
    <d v="2025-02-14T00:00:00"/>
    <d v="2025-02-15T00:00:00"/>
    <x v="0"/>
    <n v="176"/>
    <n v="582.08000000000004"/>
    <n v="102446.08"/>
    <n v="10"/>
    <n v="1"/>
  </r>
  <r>
    <s v="PO10059"/>
    <x v="4"/>
    <s v="Ball Bearings"/>
    <s v="Atlanta DC"/>
    <s v="Branch B"/>
    <x v="25"/>
    <d v="2025-01-17T00:00:00"/>
    <d v="2025-01-19T00:00:00"/>
    <d v="2025-01-20T00:00:00"/>
    <x v="0"/>
    <n v="94"/>
    <n v="202.23"/>
    <n v="19009.62"/>
    <n v="16"/>
    <n v="2"/>
  </r>
  <r>
    <s v="PO10060"/>
    <x v="3"/>
    <s v="Gearbox Assembly"/>
    <s v="Phoenix DC"/>
    <s v="Branch F"/>
    <x v="26"/>
    <d v="2025-01-29T00:00:00"/>
    <d v="2025-01-31T00:00:00"/>
    <d v="2025-02-02T00:00:00"/>
    <x v="0"/>
    <n v="126"/>
    <n v="574"/>
    <n v="72324"/>
    <n v="5"/>
    <n v="2"/>
  </r>
  <r>
    <s v="PO10065"/>
    <x v="3"/>
    <s v="Control Valve"/>
    <s v="Chicago DC"/>
    <s v="Branch B"/>
    <x v="24"/>
    <d v="2025-02-16T00:00:00"/>
    <d v="2025-02-21T00:00:00"/>
    <d v="2025-02-26T00:00:00"/>
    <x v="0"/>
    <n v="124"/>
    <n v="378.7"/>
    <n v="46958.8"/>
    <n v="17"/>
    <n v="5"/>
  </r>
  <r>
    <s v="PO10078"/>
    <x v="2"/>
    <s v="Control Valve"/>
    <s v="Orlando DC"/>
    <s v="Branch F"/>
    <x v="27"/>
    <d v="2025-02-06T00:00:00"/>
    <d v="2025-02-09T00:00:00"/>
    <d v="2025-02-12T00:00:00"/>
    <x v="0"/>
    <n v="121"/>
    <n v="74.44"/>
    <n v="9007.24"/>
    <n v="10"/>
    <n v="3"/>
  </r>
  <r>
    <s v="PO10079"/>
    <x v="7"/>
    <s v="Industrial Motor"/>
    <s v="Atlanta DC"/>
    <s v="Branch A"/>
    <x v="15"/>
    <d v="2025-04-19T00:00:00"/>
    <d v="2025-04-20T00:00:00"/>
    <d v="2025-04-21T00:00:00"/>
    <x v="0"/>
    <n v="170"/>
    <n v="139.41"/>
    <n v="23699.7"/>
    <n v="7"/>
    <n v="1"/>
  </r>
  <r>
    <s v="PO10082"/>
    <x v="3"/>
    <s v="Ball Bearings"/>
    <s v="Dallas DC"/>
    <s v="Branch D"/>
    <x v="18"/>
    <d v="2025-04-09T00:00:00"/>
    <d v="2025-04-11T00:00:00"/>
    <d v="2025-04-12T00:00:00"/>
    <x v="0"/>
    <n v="177"/>
    <n v="700.89"/>
    <n v="124057.53"/>
    <n v="14"/>
    <n v="2"/>
  </r>
  <r>
    <s v="PO10088"/>
    <x v="4"/>
    <s v="Industrial Motor"/>
    <s v="Phoenix DC"/>
    <s v="Branch F"/>
    <x v="28"/>
    <d v="2025-01-13T00:00:00"/>
    <d v="2025-01-14T00:00:00"/>
    <d v="2025-01-15T00:00:00"/>
    <x v="0"/>
    <n v="34"/>
    <n v="400.31"/>
    <n v="13610.54"/>
    <n v="12"/>
    <n v="1"/>
  </r>
  <r>
    <s v="PO10089"/>
    <x v="2"/>
    <s v="Drive Unit"/>
    <s v="Orlando DC"/>
    <s v="Branch B"/>
    <x v="29"/>
    <d v="2025-02-18T00:00:00"/>
    <d v="2025-02-21T00:00:00"/>
    <d v="2025-02-24T00:00:00"/>
    <x v="0"/>
    <n v="128"/>
    <n v="833.5"/>
    <n v="106688"/>
    <n v="14"/>
    <n v="3"/>
  </r>
  <r>
    <s v="PO10090"/>
    <x v="7"/>
    <s v="Automation Sensor"/>
    <s v="Chicago DC"/>
    <s v="Branch E"/>
    <x v="30"/>
    <d v="2025-02-25T00:00:00"/>
    <d v="2025-02-27T00:00:00"/>
    <d v="2025-03-04T00:00:00"/>
    <x v="0"/>
    <n v="39"/>
    <n v="736.46"/>
    <n v="28721.94"/>
    <n v="8"/>
    <n v="2"/>
  </r>
  <r>
    <s v="PO10093"/>
    <x v="9"/>
    <s v="Drive Unit"/>
    <s v="Atlanta DC"/>
    <s v="Branch B"/>
    <x v="19"/>
    <d v="2025-03-16T00:00:00"/>
    <d v="2025-03-21T00:00:00"/>
    <d v="2025-03-25T00:00:00"/>
    <x v="0"/>
    <n v="174"/>
    <n v="676.65"/>
    <n v="117737.1"/>
    <n v="19"/>
    <n v="5"/>
  </r>
  <r>
    <s v="PO10097"/>
    <x v="6"/>
    <s v="Ball Bearings"/>
    <s v="Chicago DC"/>
    <s v="Branch A"/>
    <x v="12"/>
    <d v="2025-01-28T00:00:00"/>
    <d v="2025-01-31T00:00:00"/>
    <d v="2025-02-01T00:00:00"/>
    <x v="0"/>
    <n v="182"/>
    <n v="265.05"/>
    <n v="48239.1"/>
    <n v="18"/>
    <n v="3"/>
  </r>
  <r>
    <s v="PO10099"/>
    <x v="5"/>
    <s v="Control Valve"/>
    <s v="Phoenix DC"/>
    <s v="Branch C"/>
    <x v="31"/>
    <d v="2025-03-29T00:00:00"/>
    <d v="2025-03-31T00:00:00"/>
    <d v="2025-04-02T00:00:00"/>
    <x v="0"/>
    <n v="154"/>
    <n v="134.5"/>
    <n v="20713"/>
    <n v="11"/>
    <n v="2"/>
  </r>
  <r>
    <s v="PO10100"/>
    <x v="4"/>
    <s v="Drive Unit"/>
    <s v="Chicago DC"/>
    <s v="Branch E"/>
    <x v="17"/>
    <d v="2025-03-30T00:00:00"/>
    <d v="2025-04-04T00:00:00"/>
    <d v="2025-04-08T00:00:00"/>
    <x v="0"/>
    <n v="178"/>
    <n v="471.41"/>
    <n v="83910.98"/>
    <n v="8"/>
    <n v="5"/>
  </r>
  <r>
    <s v="PO10101"/>
    <x v="1"/>
    <s v="Drive Unit"/>
    <s v="Atlanta DC"/>
    <s v="Branch B"/>
    <x v="32"/>
    <d v="2025-02-21T00:00:00"/>
    <d v="2025-02-22T00:00:00"/>
    <d v="2025-02-25T00:00:00"/>
    <x v="0"/>
    <n v="82"/>
    <n v="181.35"/>
    <n v="14870.7"/>
    <n v="14"/>
    <n v="1"/>
  </r>
  <r>
    <s v="PO10103"/>
    <x v="7"/>
    <s v="Gearbox Assembly"/>
    <s v="Orlando DC"/>
    <s v="Branch C"/>
    <x v="33"/>
    <d v="2025-05-04T00:00:00"/>
    <d v="2025-05-09T00:00:00"/>
    <d v="2025-05-10T00:00:00"/>
    <x v="0"/>
    <n v="195"/>
    <n v="429.77"/>
    <n v="83805.149999999994"/>
    <n v="18"/>
    <n v="5"/>
  </r>
  <r>
    <s v="PO10106"/>
    <x v="7"/>
    <s v="Drive Unit"/>
    <s v="Chicago DC"/>
    <s v="Branch F"/>
    <x v="11"/>
    <d v="2025-02-01T00:00:00"/>
    <d v="2025-02-03T00:00:00"/>
    <d v="2025-02-06T00:00:00"/>
    <x v="0"/>
    <n v="74"/>
    <n v="708.44"/>
    <n v="52424.56"/>
    <n v="17"/>
    <n v="2"/>
  </r>
  <r>
    <s v="PO10107"/>
    <x v="2"/>
    <s v="Automation Sensor"/>
    <s v="Orlando DC"/>
    <s v="Branch C"/>
    <x v="34"/>
    <d v="2025-04-30T00:00:00"/>
    <d v="2025-05-05T00:00:00"/>
    <d v="2025-05-06T00:00:00"/>
    <x v="0"/>
    <n v="24"/>
    <n v="132.53"/>
    <n v="3180.72"/>
    <n v="13"/>
    <n v="5"/>
  </r>
  <r>
    <s v="PO10108"/>
    <x v="7"/>
    <s v="Automation Sensor"/>
    <s v="Chicago DC"/>
    <s v="Branch A"/>
    <x v="35"/>
    <d v="2025-01-27T00:00:00"/>
    <d v="2025-01-28T00:00:00"/>
    <d v="2025-01-29T00:00:00"/>
    <x v="0"/>
    <n v="36"/>
    <n v="394.75"/>
    <n v="14211"/>
    <n v="16"/>
    <n v="1"/>
  </r>
  <r>
    <s v="PO10109"/>
    <x v="3"/>
    <s v="Gearbox Assembly"/>
    <s v="Atlanta DC"/>
    <s v="Branch F"/>
    <x v="18"/>
    <d v="2025-04-03T00:00:00"/>
    <d v="2025-04-04T00:00:00"/>
    <d v="2025-04-05T00:00:00"/>
    <x v="0"/>
    <n v="148"/>
    <n v="288.89"/>
    <n v="42755.72"/>
    <n v="7"/>
    <n v="1"/>
  </r>
  <r>
    <s v="PO10110"/>
    <x v="6"/>
    <s v="Control Valve"/>
    <s v="Phoenix DC"/>
    <s v="Branch A"/>
    <x v="3"/>
    <d v="2025-04-26T00:00:00"/>
    <d v="2025-04-29T00:00:00"/>
    <d v="2025-05-02T00:00:00"/>
    <x v="0"/>
    <n v="34"/>
    <n v="131.71"/>
    <n v="4478.1400000000003"/>
    <n v="13"/>
    <n v="3"/>
  </r>
  <r>
    <s v="PO10111"/>
    <x v="8"/>
    <s v="Automation Sensor"/>
    <s v="Orlando DC"/>
    <s v="Branch F"/>
    <x v="12"/>
    <d v="2025-01-19T00:00:00"/>
    <d v="2025-01-21T00:00:00"/>
    <d v="2025-01-23T00:00:00"/>
    <x v="0"/>
    <n v="99"/>
    <n v="574.86"/>
    <n v="56911.14"/>
    <n v="8"/>
    <n v="2"/>
  </r>
  <r>
    <s v="PO10112"/>
    <x v="7"/>
    <s v="Ball Bearings"/>
    <s v="Chicago DC"/>
    <s v="Branch B"/>
    <x v="36"/>
    <d v="2025-04-09T00:00:00"/>
    <d v="2025-04-10T00:00:00"/>
    <d v="2025-04-11T00:00:00"/>
    <x v="0"/>
    <n v="162"/>
    <n v="355.78"/>
    <n v="57636.36"/>
    <n v="6"/>
    <n v="1"/>
  </r>
  <r>
    <s v="PO10115"/>
    <x v="3"/>
    <s v="Gearbox Assembly"/>
    <s v="Dallas DC"/>
    <s v="Branch C"/>
    <x v="2"/>
    <d v="2025-02-06T00:00:00"/>
    <d v="2025-02-11T00:00:00"/>
    <d v="2025-02-16T00:00:00"/>
    <x v="0"/>
    <n v="200"/>
    <n v="477.76"/>
    <n v="95552"/>
    <n v="10"/>
    <n v="5"/>
  </r>
  <r>
    <s v="PO10121"/>
    <x v="8"/>
    <s v="Control Valve"/>
    <s v="Phoenix DC"/>
    <s v="Branch E"/>
    <x v="37"/>
    <d v="2025-04-03T00:00:00"/>
    <d v="2025-04-05T00:00:00"/>
    <d v="2025-04-10T00:00:00"/>
    <x v="0"/>
    <n v="102"/>
    <n v="845.51"/>
    <n v="86242.02"/>
    <n v="15"/>
    <n v="2"/>
  </r>
  <r>
    <s v="PO10123"/>
    <x v="5"/>
    <s v="Hydraulic Pump"/>
    <s v="Atlanta DC"/>
    <s v="Branch A"/>
    <x v="12"/>
    <d v="2025-01-21T00:00:00"/>
    <d v="2025-01-22T00:00:00"/>
    <d v="2025-01-25T00:00:00"/>
    <x v="0"/>
    <n v="100"/>
    <n v="811.25"/>
    <n v="81125"/>
    <n v="9"/>
    <n v="1"/>
  </r>
  <r>
    <s v="PO10125"/>
    <x v="7"/>
    <s v="Control Valve"/>
    <s v="Chicago DC"/>
    <s v="Branch A"/>
    <x v="38"/>
    <d v="2025-02-28T00:00:00"/>
    <d v="2025-03-05T00:00:00"/>
    <d v="2025-03-09T00:00:00"/>
    <x v="0"/>
    <n v="189"/>
    <n v="57.96"/>
    <n v="10954.44"/>
    <n v="18"/>
    <n v="5"/>
  </r>
  <r>
    <s v="PO10127"/>
    <x v="8"/>
    <s v="Ball Bearings"/>
    <s v="Orlando DC"/>
    <s v="Branch F"/>
    <x v="39"/>
    <d v="2025-03-21T00:00:00"/>
    <d v="2025-03-26T00:00:00"/>
    <d v="2025-03-30T00:00:00"/>
    <x v="0"/>
    <n v="164"/>
    <n v="527.33000000000004"/>
    <n v="86482.12"/>
    <n v="11"/>
    <n v="5"/>
  </r>
  <r>
    <s v="PO10131"/>
    <x v="1"/>
    <s v="Drive Unit"/>
    <s v="Orlando DC"/>
    <s v="Branch D"/>
    <x v="13"/>
    <d v="2025-02-05T00:00:00"/>
    <d v="2025-02-07T00:00:00"/>
    <d v="2025-02-08T00:00:00"/>
    <x v="0"/>
    <n v="74"/>
    <n v="385"/>
    <n v="28490"/>
    <n v="17"/>
    <n v="2"/>
  </r>
  <r>
    <s v="PO10138"/>
    <x v="0"/>
    <s v="Power Transmission Belt"/>
    <s v="Dallas DC"/>
    <s v="Branch B"/>
    <x v="40"/>
    <d v="2025-01-21T00:00:00"/>
    <d v="2025-01-24T00:00:00"/>
    <d v="2025-01-25T00:00:00"/>
    <x v="0"/>
    <n v="54"/>
    <n v="771.45"/>
    <n v="41658.300000000003"/>
    <n v="14"/>
    <n v="3"/>
  </r>
  <r>
    <s v="PO10140"/>
    <x v="3"/>
    <s v="Power Transmission Belt"/>
    <s v="Chicago DC"/>
    <s v="Branch B"/>
    <x v="22"/>
    <d v="2025-04-19T00:00:00"/>
    <d v="2025-04-24T00:00:00"/>
    <d v="2025-04-29T00:00:00"/>
    <x v="0"/>
    <n v="149"/>
    <n v="551.9"/>
    <n v="82233.100000000006"/>
    <n v="17"/>
    <n v="5"/>
  </r>
  <r>
    <s v="PO10141"/>
    <x v="0"/>
    <s v="Hydraulic Pump"/>
    <s v="Chicago DC"/>
    <s v="Branch D"/>
    <x v="41"/>
    <d v="2025-03-02T00:00:00"/>
    <d v="2025-03-03T00:00:00"/>
    <d v="2025-03-07T00:00:00"/>
    <x v="0"/>
    <n v="75"/>
    <n v="508.84"/>
    <n v="38163"/>
    <n v="5"/>
    <n v="1"/>
  </r>
  <r>
    <s v="PO10143"/>
    <x v="0"/>
    <s v="Drive Unit"/>
    <s v="Orlando DC"/>
    <s v="Branch B"/>
    <x v="42"/>
    <d v="2025-03-27T00:00:00"/>
    <d v="2025-03-30T00:00:00"/>
    <d v="2025-03-31T00:00:00"/>
    <x v="0"/>
    <n v="151"/>
    <n v="559.28"/>
    <n v="84451.28"/>
    <n v="18"/>
    <n v="3"/>
  </r>
  <r>
    <s v="PO10146"/>
    <x v="3"/>
    <s v="Industrial Motor"/>
    <s v="Chicago DC"/>
    <s v="Branch A"/>
    <x v="12"/>
    <d v="2025-01-24T00:00:00"/>
    <d v="2025-01-27T00:00:00"/>
    <d v="2025-01-31T00:00:00"/>
    <x v="0"/>
    <n v="190"/>
    <n v="726.06"/>
    <n v="137951.4"/>
    <n v="14"/>
    <n v="3"/>
  </r>
  <r>
    <s v="PO10148"/>
    <x v="8"/>
    <s v="Hydraulic Pump"/>
    <s v="Phoenix DC"/>
    <s v="Branch E"/>
    <x v="43"/>
    <d v="2025-03-03T00:00:00"/>
    <d v="2025-03-08T00:00:00"/>
    <d v="2025-03-11T00:00:00"/>
    <x v="0"/>
    <n v="176"/>
    <n v="601.86"/>
    <n v="105927.36"/>
    <n v="18"/>
    <n v="5"/>
  </r>
  <r>
    <s v="PO10151"/>
    <x v="6"/>
    <s v="Automation Sensor"/>
    <s v="Chicago DC"/>
    <s v="Branch F"/>
    <x v="44"/>
    <d v="2025-05-01T00:00:00"/>
    <d v="2025-05-06T00:00:00"/>
    <d v="2025-05-11T00:00:00"/>
    <x v="0"/>
    <n v="47"/>
    <n v="617.19000000000005"/>
    <n v="29007.93"/>
    <n v="19"/>
    <n v="5"/>
  </r>
  <r>
    <s v="PO10152"/>
    <x v="2"/>
    <s v="Gearbox Assembly"/>
    <s v="Chicago DC"/>
    <s v="Branch D"/>
    <x v="45"/>
    <d v="2025-04-09T00:00:00"/>
    <d v="2025-04-10T00:00:00"/>
    <d v="2025-04-15T00:00:00"/>
    <x v="0"/>
    <n v="196"/>
    <n v="669.47"/>
    <n v="131216.12"/>
    <n v="7"/>
    <n v="1"/>
  </r>
  <r>
    <s v="PO10156"/>
    <x v="0"/>
    <s v="Gearbox Assembly"/>
    <s v="Atlanta DC"/>
    <s v="Branch C"/>
    <x v="46"/>
    <d v="2025-02-26T00:00:00"/>
    <d v="2025-02-27T00:00:00"/>
    <d v="2025-03-04T00:00:00"/>
    <x v="0"/>
    <n v="103"/>
    <n v="845.43"/>
    <n v="87079.29"/>
    <n v="4"/>
    <n v="1"/>
  </r>
  <r>
    <s v="PO10157"/>
    <x v="5"/>
    <s v="Industrial Motor"/>
    <s v="Phoenix DC"/>
    <s v="Branch D"/>
    <x v="47"/>
    <d v="2025-05-04T00:00:00"/>
    <d v="2025-05-09T00:00:00"/>
    <d v="2025-05-12T00:00:00"/>
    <x v="0"/>
    <n v="40"/>
    <n v="46.98"/>
    <n v="1879.2"/>
    <n v="9"/>
    <n v="5"/>
  </r>
  <r>
    <s v="PO10160"/>
    <x v="6"/>
    <s v="Power Transmission Belt"/>
    <s v="Dallas DC"/>
    <s v="Branch E"/>
    <x v="25"/>
    <d v="2025-01-16T00:00:00"/>
    <d v="2025-01-18T00:00:00"/>
    <d v="2025-01-23T00:00:00"/>
    <x v="0"/>
    <n v="41"/>
    <n v="258.20999999999998"/>
    <n v="10586.61"/>
    <n v="15"/>
    <n v="2"/>
  </r>
  <r>
    <s v="PO10161"/>
    <x v="8"/>
    <s v="Ball Bearings"/>
    <s v="Phoenix DC"/>
    <s v="Branch D"/>
    <x v="46"/>
    <d v="2025-02-28T00:00:00"/>
    <d v="2025-03-03T00:00:00"/>
    <d v="2025-03-04T00:00:00"/>
    <x v="0"/>
    <n v="97"/>
    <n v="71.510000000000005"/>
    <n v="6936.47"/>
    <n v="8"/>
    <n v="3"/>
  </r>
  <r>
    <s v="PO10162"/>
    <x v="4"/>
    <s v="Power Transmission Belt"/>
    <s v="Dallas DC"/>
    <s v="Branch F"/>
    <x v="48"/>
    <d v="2025-01-19T00:00:00"/>
    <d v="2025-01-20T00:00:00"/>
    <d v="2025-01-23T00:00:00"/>
    <x v="0"/>
    <n v="9"/>
    <n v="313.17"/>
    <n v="2818.53"/>
    <n v="14"/>
    <n v="1"/>
  </r>
  <r>
    <s v="PO10165"/>
    <x v="2"/>
    <s v="Control Valve"/>
    <s v="Chicago DC"/>
    <s v="Branch A"/>
    <x v="49"/>
    <d v="2025-03-16T00:00:00"/>
    <d v="2025-03-21T00:00:00"/>
    <d v="2025-03-26T00:00:00"/>
    <x v="0"/>
    <n v="14"/>
    <n v="644"/>
    <n v="9016"/>
    <n v="14"/>
    <n v="5"/>
  </r>
  <r>
    <s v="PO10167"/>
    <x v="4"/>
    <s v="Automation Sensor"/>
    <s v="Atlanta DC"/>
    <s v="Branch D"/>
    <x v="50"/>
    <d v="2025-03-19T00:00:00"/>
    <d v="2025-03-20T00:00:00"/>
    <d v="2025-03-23T00:00:00"/>
    <x v="0"/>
    <n v="137"/>
    <n v="237.71"/>
    <n v="32566.27"/>
    <n v="15"/>
    <n v="1"/>
  </r>
  <r>
    <s v="PO10168"/>
    <x v="7"/>
    <s v="Control Valve"/>
    <s v="Phoenix DC"/>
    <s v="Branch E"/>
    <x v="51"/>
    <d v="2025-03-24T00:00:00"/>
    <d v="2025-03-26T00:00:00"/>
    <d v="2025-03-29T00:00:00"/>
    <x v="0"/>
    <n v="25"/>
    <n v="288.81"/>
    <n v="7220.25"/>
    <n v="7"/>
    <n v="2"/>
  </r>
  <r>
    <s v="PO10174"/>
    <x v="9"/>
    <s v="Hydraulic Pump"/>
    <s v="Phoenix DC"/>
    <s v="Branch B"/>
    <x v="52"/>
    <d v="2025-03-05T00:00:00"/>
    <d v="2025-03-07T00:00:00"/>
    <d v="2025-03-10T00:00:00"/>
    <x v="0"/>
    <n v="130"/>
    <n v="182.15"/>
    <n v="23679.5"/>
    <n v="8"/>
    <n v="2"/>
  </r>
  <r>
    <s v="PO10175"/>
    <x v="4"/>
    <s v="Control Valve"/>
    <s v="Chicago DC"/>
    <s v="Branch B"/>
    <x v="23"/>
    <d v="2025-05-10T00:00:00"/>
    <d v="2025-05-11T00:00:00"/>
    <d v="2025-05-12T00:00:00"/>
    <x v="0"/>
    <n v="86"/>
    <n v="572.65"/>
    <n v="49247.9"/>
    <n v="15"/>
    <n v="1"/>
  </r>
  <r>
    <s v="PO10176"/>
    <x v="2"/>
    <s v="Industrial Motor"/>
    <s v="Dallas DC"/>
    <s v="Branch D"/>
    <x v="53"/>
    <d v="2025-04-16T00:00:00"/>
    <d v="2025-04-19T00:00:00"/>
    <d v="2025-04-21T00:00:00"/>
    <x v="0"/>
    <n v="135"/>
    <n v="202.24"/>
    <n v="27302.400000000001"/>
    <n v="17"/>
    <n v="3"/>
  </r>
  <r>
    <s v="PO10177"/>
    <x v="4"/>
    <s v="Hydraulic Pump"/>
    <s v="Chicago DC"/>
    <s v="Branch D"/>
    <x v="54"/>
    <d v="2025-01-12T00:00:00"/>
    <d v="2025-01-14T00:00:00"/>
    <d v="2025-01-19T00:00:00"/>
    <x v="0"/>
    <n v="146"/>
    <n v="123.36"/>
    <n v="18010.560000000001"/>
    <n v="10"/>
    <n v="2"/>
  </r>
  <r>
    <s v="PO10178"/>
    <x v="4"/>
    <s v="Industrial Motor"/>
    <s v="Chicago DC"/>
    <s v="Branch F"/>
    <x v="53"/>
    <d v="2025-04-16T00:00:00"/>
    <d v="2025-04-17T00:00:00"/>
    <d v="2025-04-22T00:00:00"/>
    <x v="0"/>
    <n v="109"/>
    <n v="702.49"/>
    <n v="76571.41"/>
    <n v="15"/>
    <n v="1"/>
  </r>
  <r>
    <s v="PO10179"/>
    <x v="9"/>
    <s v="Industrial Motor"/>
    <s v="Phoenix DC"/>
    <s v="Branch E"/>
    <x v="40"/>
    <d v="2025-01-20T00:00:00"/>
    <d v="2025-01-21T00:00:00"/>
    <d v="2025-01-26T00:00:00"/>
    <x v="0"/>
    <n v="146"/>
    <n v="549.23"/>
    <n v="80187.58"/>
    <n v="11"/>
    <n v="1"/>
  </r>
  <r>
    <s v="PO10180"/>
    <x v="0"/>
    <s v="Gearbox Assembly"/>
    <s v="Chicago DC"/>
    <s v="Branch E"/>
    <x v="55"/>
    <d v="2025-04-30T00:00:00"/>
    <d v="2025-05-05T00:00:00"/>
    <d v="2025-05-06T00:00:00"/>
    <x v="0"/>
    <n v="82"/>
    <n v="152.49"/>
    <n v="12504.18"/>
    <n v="8"/>
    <n v="5"/>
  </r>
  <r>
    <s v="PO10181"/>
    <x v="7"/>
    <s v="Industrial Motor"/>
    <s v="Chicago DC"/>
    <s v="Branch E"/>
    <x v="4"/>
    <d v="2025-05-02T00:00:00"/>
    <d v="2025-05-07T00:00:00"/>
    <d v="2025-05-08T00:00:00"/>
    <x v="0"/>
    <n v="167"/>
    <n v="813.55"/>
    <n v="135862.85"/>
    <n v="12"/>
    <n v="5"/>
  </r>
  <r>
    <s v="PO10182"/>
    <x v="3"/>
    <s v="Power Transmission Belt"/>
    <s v="Orlando DC"/>
    <s v="Branch A"/>
    <x v="56"/>
    <d v="2025-03-14T00:00:00"/>
    <d v="2025-03-16T00:00:00"/>
    <d v="2025-03-18T00:00:00"/>
    <x v="0"/>
    <n v="153"/>
    <n v="143.75"/>
    <n v="21993.75"/>
    <n v="6"/>
    <n v="2"/>
  </r>
  <r>
    <s v="PO10184"/>
    <x v="5"/>
    <s v="Hydraulic Pump"/>
    <s v="Atlanta DC"/>
    <s v="Branch B"/>
    <x v="57"/>
    <d v="2025-03-31T00:00:00"/>
    <d v="2025-04-01T00:00:00"/>
    <d v="2025-04-03T00:00:00"/>
    <x v="0"/>
    <n v="180"/>
    <n v="354.09"/>
    <n v="63736.2"/>
    <n v="8"/>
    <n v="1"/>
  </r>
  <r>
    <s v="PO10185"/>
    <x v="0"/>
    <s v="Power Transmission Belt"/>
    <s v="Phoenix DC"/>
    <s v="Branch B"/>
    <x v="41"/>
    <d v="2025-03-07T00:00:00"/>
    <d v="2025-03-08T00:00:00"/>
    <d v="2025-03-12T00:00:00"/>
    <x v="0"/>
    <n v="160"/>
    <n v="134.96"/>
    <n v="21593.599999999999"/>
    <n v="10"/>
    <n v="1"/>
  </r>
  <r>
    <s v="PO10188"/>
    <x v="1"/>
    <s v="Drive Unit"/>
    <s v="Dallas DC"/>
    <s v="Branch B"/>
    <x v="50"/>
    <d v="2025-03-16T00:00:00"/>
    <d v="2025-03-17T00:00:00"/>
    <d v="2025-03-21T00:00:00"/>
    <x v="0"/>
    <n v="132"/>
    <n v="34.35"/>
    <n v="4534.2"/>
    <n v="12"/>
    <n v="1"/>
  </r>
  <r>
    <s v="PO10190"/>
    <x v="6"/>
    <s v="Gearbox Assembly"/>
    <s v="Chicago DC"/>
    <s v="Branch E"/>
    <x v="58"/>
    <d v="2025-01-25T00:00:00"/>
    <d v="2025-01-28T00:00:00"/>
    <d v="2025-01-31T00:00:00"/>
    <x v="0"/>
    <n v="98"/>
    <n v="52.78"/>
    <n v="5172.4399999999996"/>
    <n v="10"/>
    <n v="3"/>
  </r>
  <r>
    <s v="PO10191"/>
    <x v="3"/>
    <s v="Hydraulic Pump"/>
    <s v="Dallas DC"/>
    <s v="Branch A"/>
    <x v="10"/>
    <d v="2025-02-10T00:00:00"/>
    <d v="2025-02-11T00:00:00"/>
    <d v="2025-02-16T00:00:00"/>
    <x v="0"/>
    <n v="145"/>
    <n v="248.57"/>
    <n v="36042.65"/>
    <n v="5"/>
    <n v="1"/>
  </r>
  <r>
    <s v="PO10192"/>
    <x v="2"/>
    <s v="Automation Sensor"/>
    <s v="Orlando DC"/>
    <s v="Branch A"/>
    <x v="59"/>
    <d v="2025-02-28T00:00:00"/>
    <d v="2025-03-05T00:00:00"/>
    <d v="2025-03-08T00:00:00"/>
    <x v="0"/>
    <n v="98"/>
    <n v="645.4"/>
    <n v="63249.2"/>
    <n v="13"/>
    <n v="5"/>
  </r>
  <r>
    <s v="PO10194"/>
    <x v="8"/>
    <s v="Drive Unit"/>
    <s v="Orlando DC"/>
    <s v="Branch C"/>
    <x v="60"/>
    <d v="2025-02-15T00:00:00"/>
    <d v="2025-02-16T00:00:00"/>
    <d v="2025-02-21T00:00:00"/>
    <x v="0"/>
    <n v="81"/>
    <n v="510.76"/>
    <n v="41371.56"/>
    <n v="6"/>
    <n v="1"/>
  </r>
  <r>
    <s v="PO10196"/>
    <x v="9"/>
    <s v="Automation Sensor"/>
    <s v="Dallas DC"/>
    <s v="Branch F"/>
    <x v="61"/>
    <d v="2025-04-26T00:00:00"/>
    <d v="2025-04-28T00:00:00"/>
    <d v="2025-05-03T00:00:00"/>
    <x v="0"/>
    <n v="18"/>
    <n v="502.24"/>
    <n v="9040.32"/>
    <n v="17"/>
    <n v="2"/>
  </r>
  <r>
    <s v="PO10198"/>
    <x v="9"/>
    <s v="Gearbox Assembly"/>
    <s v="Orlando DC"/>
    <s v="Branch C"/>
    <x v="62"/>
    <d v="2025-03-21T00:00:00"/>
    <d v="2025-03-23T00:00:00"/>
    <d v="2025-03-27T00:00:00"/>
    <x v="0"/>
    <n v="193"/>
    <n v="622.38"/>
    <n v="120119.34"/>
    <n v="17"/>
    <n v="2"/>
  </r>
  <r>
    <s v="PO10199"/>
    <x v="8"/>
    <s v="Power Transmission Belt"/>
    <s v="Orlando DC"/>
    <s v="Branch C"/>
    <x v="1"/>
    <d v="2025-04-05T00:00:00"/>
    <d v="2025-04-07T00:00:00"/>
    <d v="2025-04-11T00:00:00"/>
    <x v="0"/>
    <n v="49"/>
    <n v="398.82"/>
    <n v="19542.18"/>
    <n v="12"/>
    <n v="2"/>
  </r>
  <r>
    <s v="PO10200"/>
    <x v="7"/>
    <s v="Control Valve"/>
    <s v="Dallas DC"/>
    <s v="Branch C"/>
    <x v="18"/>
    <d v="2025-04-12T00:00:00"/>
    <d v="2025-04-17T00:00:00"/>
    <d v="2025-04-20T00:00:00"/>
    <x v="0"/>
    <n v="54"/>
    <n v="814.38"/>
    <n v="43976.52"/>
    <n v="20"/>
    <n v="5"/>
  </r>
  <r>
    <s v="PO10201"/>
    <x v="0"/>
    <s v="Control Valve"/>
    <s v="Chicago DC"/>
    <s v="Branch A"/>
    <x v="63"/>
    <d v="2025-04-16T00:00:00"/>
    <d v="2025-04-19T00:00:00"/>
    <d v="2025-04-21T00:00:00"/>
    <x v="0"/>
    <n v="130"/>
    <n v="279.73"/>
    <n v="36364.9"/>
    <n v="10"/>
    <n v="3"/>
  </r>
  <r>
    <s v="PO10202"/>
    <x v="9"/>
    <s v="Control Valve"/>
    <s v="Atlanta DC"/>
    <s v="Branch C"/>
    <x v="39"/>
    <d v="2025-03-28T00:00:00"/>
    <d v="2025-03-30T00:00:00"/>
    <d v="2025-04-03T00:00:00"/>
    <x v="0"/>
    <n v="106"/>
    <n v="698.35"/>
    <n v="74025.100000000006"/>
    <n v="15"/>
    <n v="2"/>
  </r>
  <r>
    <s v="PO10206"/>
    <x v="6"/>
    <s v="Hydraulic Pump"/>
    <s v="Orlando DC"/>
    <s v="Branch B"/>
    <x v="47"/>
    <d v="2025-05-10T00:00:00"/>
    <d v="2025-05-11T00:00:00"/>
    <d v="2025-05-13T00:00:00"/>
    <x v="0"/>
    <n v="78"/>
    <n v="283.18"/>
    <n v="22088.04"/>
    <n v="11"/>
    <n v="1"/>
  </r>
  <r>
    <s v="PO10207"/>
    <x v="9"/>
    <s v="Ball Bearings"/>
    <s v="Phoenix DC"/>
    <s v="Branch D"/>
    <x v="56"/>
    <d v="2025-03-24T00:00:00"/>
    <d v="2025-03-27T00:00:00"/>
    <d v="2025-03-28T00:00:00"/>
    <x v="0"/>
    <n v="49"/>
    <n v="363.93"/>
    <n v="17832.57"/>
    <n v="17"/>
    <n v="3"/>
  </r>
  <r>
    <s v="PO10208"/>
    <x v="3"/>
    <s v="Hydraulic Pump"/>
    <s v="Chicago DC"/>
    <s v="Branch C"/>
    <x v="64"/>
    <d v="2025-02-07T00:00:00"/>
    <d v="2025-02-12T00:00:00"/>
    <d v="2025-02-15T00:00:00"/>
    <x v="0"/>
    <n v="7"/>
    <n v="264.16000000000003"/>
    <n v="1849.12"/>
    <n v="19"/>
    <n v="5"/>
  </r>
  <r>
    <s v="PO10209"/>
    <x v="5"/>
    <s v="Control Valve"/>
    <s v="Dallas DC"/>
    <s v="Branch A"/>
    <x v="65"/>
    <d v="2025-03-13T00:00:00"/>
    <d v="2025-03-15T00:00:00"/>
    <d v="2025-03-20T00:00:00"/>
    <x v="0"/>
    <n v="39"/>
    <n v="725.63"/>
    <n v="28299.57"/>
    <n v="15"/>
    <n v="2"/>
  </r>
  <r>
    <s v="PO10210"/>
    <x v="0"/>
    <s v="Control Valve"/>
    <s v="Orlando DC"/>
    <s v="Branch F"/>
    <x v="66"/>
    <d v="2025-02-17T00:00:00"/>
    <d v="2025-02-20T00:00:00"/>
    <d v="2025-02-24T00:00:00"/>
    <x v="0"/>
    <n v="188"/>
    <n v="170.48"/>
    <n v="32050.240000000002"/>
    <n v="8"/>
    <n v="3"/>
  </r>
  <r>
    <s v="PO10214"/>
    <x v="2"/>
    <s v="Gearbox Assembly"/>
    <s v="Dallas DC"/>
    <s v="Branch D"/>
    <x v="63"/>
    <d v="2025-04-16T00:00:00"/>
    <d v="2025-04-19T00:00:00"/>
    <d v="2025-04-20T00:00:00"/>
    <x v="0"/>
    <n v="80"/>
    <n v="321.89999999999998"/>
    <n v="25752"/>
    <n v="10"/>
    <n v="3"/>
  </r>
  <r>
    <s v="PO10215"/>
    <x v="5"/>
    <s v="Gearbox Assembly"/>
    <s v="Dallas DC"/>
    <s v="Branch F"/>
    <x v="67"/>
    <d v="2025-01-30T00:00:00"/>
    <d v="2025-02-02T00:00:00"/>
    <d v="2025-02-07T00:00:00"/>
    <x v="0"/>
    <n v="184"/>
    <n v="473.61"/>
    <n v="87144.24"/>
    <n v="13"/>
    <n v="3"/>
  </r>
  <r>
    <s v="PO10216"/>
    <x v="4"/>
    <s v="Hydraulic Pump"/>
    <s v="Atlanta DC"/>
    <s v="Branch E"/>
    <x v="22"/>
    <d v="2025-04-19T00:00:00"/>
    <d v="2025-04-24T00:00:00"/>
    <d v="2025-04-25T00:00:00"/>
    <x v="0"/>
    <n v="140"/>
    <n v="602.64"/>
    <n v="84369.600000000006"/>
    <n v="17"/>
    <n v="5"/>
  </r>
  <r>
    <s v="PO10220"/>
    <x v="1"/>
    <s v="Power Transmission Belt"/>
    <s v="Phoenix DC"/>
    <s v="Branch D"/>
    <x v="68"/>
    <d v="2025-01-12T00:00:00"/>
    <d v="2025-01-13T00:00:00"/>
    <d v="2025-01-15T00:00:00"/>
    <x v="0"/>
    <n v="169"/>
    <n v="831.91"/>
    <n v="140592.79"/>
    <n v="8"/>
    <n v="1"/>
  </r>
  <r>
    <s v="PO10221"/>
    <x v="9"/>
    <s v="Power Transmission Belt"/>
    <s v="Atlanta DC"/>
    <s v="Branch B"/>
    <x v="34"/>
    <d v="2025-05-01T00:00:00"/>
    <d v="2025-05-02T00:00:00"/>
    <d v="2025-05-03T00:00:00"/>
    <x v="0"/>
    <n v="174"/>
    <n v="745.25"/>
    <n v="129673.5"/>
    <n v="10"/>
    <n v="1"/>
  </r>
  <r>
    <s v="PO10222"/>
    <x v="6"/>
    <s v="Control Valve"/>
    <s v="Phoenix DC"/>
    <s v="Branch F"/>
    <x v="56"/>
    <d v="2025-03-19T00:00:00"/>
    <d v="2025-03-21T00:00:00"/>
    <d v="2025-03-23T00:00:00"/>
    <x v="0"/>
    <n v="62"/>
    <n v="712.08"/>
    <n v="44148.959999999999"/>
    <n v="11"/>
    <n v="2"/>
  </r>
  <r>
    <s v="PO10223"/>
    <x v="0"/>
    <s v="Industrial Motor"/>
    <s v="Chicago DC"/>
    <s v="Branch B"/>
    <x v="45"/>
    <d v="2025-04-14T00:00:00"/>
    <d v="2025-04-15T00:00:00"/>
    <d v="2025-04-20T00:00:00"/>
    <x v="0"/>
    <n v="63"/>
    <n v="221.67"/>
    <n v="13965.21"/>
    <n v="12"/>
    <n v="1"/>
  </r>
  <r>
    <s v="PO10227"/>
    <x v="9"/>
    <s v="Automation Sensor"/>
    <s v="Orlando DC"/>
    <s v="Branch D"/>
    <x v="69"/>
    <d v="2025-03-14T00:00:00"/>
    <d v="2025-03-15T00:00:00"/>
    <d v="2025-03-18T00:00:00"/>
    <x v="0"/>
    <n v="147"/>
    <n v="807.01"/>
    <n v="118630.47"/>
    <n v="7"/>
    <n v="1"/>
  </r>
  <r>
    <s v="PO10228"/>
    <x v="1"/>
    <s v="Industrial Motor"/>
    <s v="Chicago DC"/>
    <s v="Branch D"/>
    <x v="70"/>
    <d v="2025-01-15T00:00:00"/>
    <d v="2025-01-18T00:00:00"/>
    <d v="2025-01-22T00:00:00"/>
    <x v="0"/>
    <n v="86"/>
    <n v="596.41999999999996"/>
    <n v="51292.12"/>
    <n v="11"/>
    <n v="3"/>
  </r>
  <r>
    <s v="PO10229"/>
    <x v="9"/>
    <s v="Drive Unit"/>
    <s v="Atlanta DC"/>
    <s v="Branch E"/>
    <x v="64"/>
    <d v="2025-02-08T00:00:00"/>
    <d v="2025-02-10T00:00:00"/>
    <d v="2025-02-14T00:00:00"/>
    <x v="0"/>
    <n v="62"/>
    <n v="266.11"/>
    <n v="16498.82"/>
    <n v="17"/>
    <n v="2"/>
  </r>
  <r>
    <s v="PO10232"/>
    <x v="0"/>
    <s v="Control Valve"/>
    <s v="Atlanta DC"/>
    <s v="Branch B"/>
    <x v="15"/>
    <d v="2025-04-28T00:00:00"/>
    <d v="2025-04-30T00:00:00"/>
    <d v="2025-05-05T00:00:00"/>
    <x v="0"/>
    <n v="58"/>
    <n v="741.01"/>
    <n v="42978.58"/>
    <n v="17"/>
    <n v="2"/>
  </r>
  <r>
    <s v="PO10233"/>
    <x v="2"/>
    <s v="Gearbox Assembly"/>
    <s v="Phoenix DC"/>
    <s v="Branch B"/>
    <x v="47"/>
    <d v="2025-05-06T00:00:00"/>
    <d v="2025-05-09T00:00:00"/>
    <d v="2025-05-10T00:00:00"/>
    <x v="0"/>
    <n v="198"/>
    <n v="414.9"/>
    <n v="82150.2"/>
    <n v="9"/>
    <n v="3"/>
  </r>
  <r>
    <s v="PO10234"/>
    <x v="7"/>
    <s v="Control Valve"/>
    <s v="Chicago DC"/>
    <s v="Branch E"/>
    <x v="42"/>
    <d v="2025-03-20T00:00:00"/>
    <d v="2025-03-25T00:00:00"/>
    <d v="2025-03-28T00:00:00"/>
    <x v="0"/>
    <n v="141"/>
    <n v="556.67999999999995"/>
    <n v="78491.88"/>
    <n v="13"/>
    <n v="5"/>
  </r>
  <r>
    <s v="PO10235"/>
    <x v="0"/>
    <s v="Gearbox Assembly"/>
    <s v="Chicago DC"/>
    <s v="Branch C"/>
    <x v="71"/>
    <d v="2025-05-03T00:00:00"/>
    <d v="2025-05-04T00:00:00"/>
    <d v="2025-05-05T00:00:00"/>
    <x v="0"/>
    <n v="189"/>
    <n v="407.02"/>
    <n v="76926.78"/>
    <n v="11"/>
    <n v="1"/>
  </r>
  <r>
    <s v="PO10236"/>
    <x v="3"/>
    <s v="Automation Sensor"/>
    <s v="Chicago DC"/>
    <s v="Branch B"/>
    <x v="9"/>
    <d v="2025-02-25T00:00:00"/>
    <d v="2025-02-27T00:00:00"/>
    <d v="2025-03-01T00:00:00"/>
    <x v="0"/>
    <n v="9"/>
    <n v="232.75"/>
    <n v="2094.75"/>
    <n v="5"/>
    <n v="2"/>
  </r>
  <r>
    <s v="PO10239"/>
    <x v="6"/>
    <s v="Ball Bearings"/>
    <s v="Phoenix DC"/>
    <s v="Branch B"/>
    <x v="57"/>
    <d v="2025-03-27T00:00:00"/>
    <d v="2025-03-29T00:00:00"/>
    <d v="2025-03-30T00:00:00"/>
    <x v="0"/>
    <n v="24"/>
    <n v="804.23"/>
    <n v="19301.52"/>
    <n v="5"/>
    <n v="2"/>
  </r>
  <r>
    <s v="PO10242"/>
    <x v="4"/>
    <s v="Industrial Motor"/>
    <s v="Dallas DC"/>
    <s v="Branch B"/>
    <x v="21"/>
    <d v="2025-04-29T00:00:00"/>
    <d v="2025-05-02T00:00:00"/>
    <d v="2025-05-06T00:00:00"/>
    <x v="0"/>
    <n v="50"/>
    <n v="104.36"/>
    <n v="5218"/>
    <n v="17"/>
    <n v="3"/>
  </r>
  <r>
    <s v="PO10245"/>
    <x v="4"/>
    <s v="Ball Bearings"/>
    <s v="Dallas DC"/>
    <s v="Branch B"/>
    <x v="72"/>
    <d v="2025-01-26T00:00:00"/>
    <d v="2025-01-27T00:00:00"/>
    <d v="2025-01-31T00:00:00"/>
    <x v="0"/>
    <n v="89"/>
    <n v="487.49"/>
    <n v="43386.61"/>
    <n v="5"/>
    <n v="1"/>
  </r>
  <r>
    <s v="PO10246"/>
    <x v="7"/>
    <s v="Ball Bearings"/>
    <s v="Dallas DC"/>
    <s v="Branch C"/>
    <x v="23"/>
    <d v="2025-05-10T00:00:00"/>
    <d v="2025-05-12T00:00:00"/>
    <d v="2025-05-16T00:00:00"/>
    <x v="0"/>
    <n v="24"/>
    <n v="586.5"/>
    <n v="14076"/>
    <n v="16"/>
    <n v="2"/>
  </r>
  <r>
    <s v="PO10247"/>
    <x v="4"/>
    <s v="Control Valve"/>
    <s v="Dallas DC"/>
    <s v="Branch E"/>
    <x v="25"/>
    <d v="2025-01-09T00:00:00"/>
    <d v="2025-01-11T00:00:00"/>
    <d v="2025-01-13T00:00:00"/>
    <x v="0"/>
    <n v="187"/>
    <n v="700.45"/>
    <n v="130984.15"/>
    <n v="8"/>
    <n v="2"/>
  </r>
  <r>
    <s v="PO10248"/>
    <x v="9"/>
    <s v="Hydraulic Pump"/>
    <s v="Orlando DC"/>
    <s v="Branch F"/>
    <x v="8"/>
    <d v="2025-02-12T00:00:00"/>
    <d v="2025-02-17T00:00:00"/>
    <d v="2025-02-21T00:00:00"/>
    <x v="0"/>
    <n v="143"/>
    <n v="291.99"/>
    <n v="41754.57"/>
    <n v="17"/>
    <n v="5"/>
  </r>
  <r>
    <s v="PO10250"/>
    <x v="1"/>
    <s v="Automation Sensor"/>
    <s v="Dallas DC"/>
    <s v="Branch F"/>
    <x v="73"/>
    <d v="2025-03-30T00:00:00"/>
    <d v="2025-04-04T00:00:00"/>
    <d v="2025-04-08T00:00:00"/>
    <x v="0"/>
    <n v="96"/>
    <n v="476.79"/>
    <n v="45771.839999999997"/>
    <n v="12"/>
    <n v="5"/>
  </r>
  <r>
    <s v="PO10251"/>
    <x v="4"/>
    <s v="Hydraulic Pump"/>
    <s v="Chicago DC"/>
    <s v="Branch B"/>
    <x v="74"/>
    <d v="2025-03-29T00:00:00"/>
    <d v="2025-03-30T00:00:00"/>
    <d v="2025-03-31T00:00:00"/>
    <x v="0"/>
    <n v="80"/>
    <n v="681.38"/>
    <n v="54510.400000000001"/>
    <n v="14"/>
    <n v="1"/>
  </r>
  <r>
    <s v="PO10252"/>
    <x v="4"/>
    <s v="Ball Bearings"/>
    <s v="Chicago DC"/>
    <s v="Branch D"/>
    <x v="43"/>
    <d v="2025-03-04T00:00:00"/>
    <d v="2025-03-09T00:00:00"/>
    <d v="2025-03-11T00:00:00"/>
    <x v="0"/>
    <n v="86"/>
    <n v="316.18"/>
    <n v="27191.48"/>
    <n v="19"/>
    <n v="5"/>
  </r>
  <r>
    <s v="PO10254"/>
    <x v="6"/>
    <s v="Control Valve"/>
    <s v="Phoenix DC"/>
    <s v="Branch D"/>
    <x v="35"/>
    <d v="2025-01-20T00:00:00"/>
    <d v="2025-01-22T00:00:00"/>
    <d v="2025-01-23T00:00:00"/>
    <x v="0"/>
    <n v="88"/>
    <n v="736.2"/>
    <n v="64785.599999999999"/>
    <n v="10"/>
    <n v="2"/>
  </r>
  <r>
    <s v="PO10255"/>
    <x v="9"/>
    <s v="Automation Sensor"/>
    <s v="Dallas DC"/>
    <s v="Branch B"/>
    <x v="75"/>
    <d v="2025-04-14T00:00:00"/>
    <d v="2025-04-17T00:00:00"/>
    <d v="2025-04-22T00:00:00"/>
    <x v="0"/>
    <n v="67"/>
    <n v="492.59"/>
    <n v="33003.53"/>
    <n v="7"/>
    <n v="3"/>
  </r>
  <r>
    <s v="PO10257"/>
    <x v="9"/>
    <s v="Control Valve"/>
    <s v="Atlanta DC"/>
    <s v="Branch D"/>
    <x v="76"/>
    <d v="2025-02-08T00:00:00"/>
    <d v="2025-02-11T00:00:00"/>
    <d v="2025-02-15T00:00:00"/>
    <x v="0"/>
    <n v="55"/>
    <n v="397.31"/>
    <n v="21852.05"/>
    <n v="9"/>
    <n v="3"/>
  </r>
  <r>
    <s v="PO10258"/>
    <x v="3"/>
    <s v="Industrial Motor"/>
    <s v="Chicago DC"/>
    <s v="Branch C"/>
    <x v="66"/>
    <d v="2025-02-24T00:00:00"/>
    <d v="2025-02-25T00:00:00"/>
    <d v="2025-02-28T00:00:00"/>
    <x v="0"/>
    <n v="115"/>
    <n v="695.92"/>
    <n v="80030.8"/>
    <n v="13"/>
    <n v="1"/>
  </r>
  <r>
    <s v="PO10261"/>
    <x v="4"/>
    <s v="Automation Sensor"/>
    <s v="Phoenix DC"/>
    <s v="Branch B"/>
    <x v="36"/>
    <d v="2025-04-14T00:00:00"/>
    <d v="2025-04-17T00:00:00"/>
    <d v="2025-04-19T00:00:00"/>
    <x v="0"/>
    <n v="79"/>
    <n v="709.12"/>
    <n v="56020.480000000003"/>
    <n v="13"/>
    <n v="3"/>
  </r>
  <r>
    <s v="PO10263"/>
    <x v="8"/>
    <s v="Hydraulic Pump"/>
    <s v="Atlanta DC"/>
    <s v="Branch B"/>
    <x v="56"/>
    <d v="2025-03-21T00:00:00"/>
    <d v="2025-03-26T00:00:00"/>
    <d v="2025-03-30T00:00:00"/>
    <x v="0"/>
    <n v="97"/>
    <n v="600.86"/>
    <n v="58283.42"/>
    <n v="16"/>
    <n v="5"/>
  </r>
  <r>
    <s v="PO10268"/>
    <x v="2"/>
    <s v="Industrial Motor"/>
    <s v="Orlando DC"/>
    <s v="Branch B"/>
    <x v="77"/>
    <d v="2025-01-18T00:00:00"/>
    <d v="2025-01-23T00:00:00"/>
    <d v="2025-01-26T00:00:00"/>
    <x v="0"/>
    <n v="178"/>
    <n v="683.04"/>
    <n v="121581.12"/>
    <n v="8"/>
    <n v="5"/>
  </r>
  <r>
    <s v="PO10269"/>
    <x v="9"/>
    <s v="Automation Sensor"/>
    <s v="Phoenix DC"/>
    <s v="Branch A"/>
    <x v="66"/>
    <d v="2025-02-23T00:00:00"/>
    <d v="2025-02-24T00:00:00"/>
    <d v="2025-02-28T00:00:00"/>
    <x v="0"/>
    <n v="108"/>
    <n v="540.85"/>
    <n v="58411.8"/>
    <n v="12"/>
    <n v="1"/>
  </r>
  <r>
    <s v="PO10272"/>
    <x v="7"/>
    <s v="Hydraulic Pump"/>
    <s v="Dallas DC"/>
    <s v="Branch C"/>
    <x v="31"/>
    <d v="2025-03-29T00:00:00"/>
    <d v="2025-03-31T00:00:00"/>
    <d v="2025-04-01T00:00:00"/>
    <x v="0"/>
    <n v="122"/>
    <n v="530.5"/>
    <n v="64721"/>
    <n v="11"/>
    <n v="2"/>
  </r>
  <r>
    <s v="PO10274"/>
    <x v="9"/>
    <s v="Industrial Motor"/>
    <s v="Phoenix DC"/>
    <s v="Branch C"/>
    <x v="78"/>
    <d v="2025-03-01T00:00:00"/>
    <d v="2025-03-02T00:00:00"/>
    <d v="2025-03-07T00:00:00"/>
    <x v="0"/>
    <n v="170"/>
    <n v="792.13"/>
    <n v="134662.1"/>
    <n v="6"/>
    <n v="1"/>
  </r>
  <r>
    <s v="PO10276"/>
    <x v="4"/>
    <s v="Ball Bearings"/>
    <s v="Dallas DC"/>
    <s v="Branch C"/>
    <x v="7"/>
    <d v="2025-04-04T00:00:00"/>
    <d v="2025-04-05T00:00:00"/>
    <d v="2025-04-09T00:00:00"/>
    <x v="0"/>
    <n v="118"/>
    <n v="423.06"/>
    <n v="49921.08"/>
    <n v="11"/>
    <n v="1"/>
  </r>
  <r>
    <s v="PO10278"/>
    <x v="5"/>
    <s v="Gearbox Assembly"/>
    <s v="Phoenix DC"/>
    <s v="Branch A"/>
    <x v="24"/>
    <d v="2025-02-19T00:00:00"/>
    <d v="2025-02-21T00:00:00"/>
    <d v="2025-02-24T00:00:00"/>
    <x v="0"/>
    <n v="198"/>
    <n v="49.74"/>
    <n v="9848.52"/>
    <n v="17"/>
    <n v="2"/>
  </r>
  <r>
    <s v="PO10279"/>
    <x v="0"/>
    <s v="Hydraulic Pump"/>
    <s v="Phoenix DC"/>
    <s v="Branch A"/>
    <x v="79"/>
    <d v="2025-04-18T00:00:00"/>
    <d v="2025-04-23T00:00:00"/>
    <d v="2025-04-25T00:00:00"/>
    <x v="0"/>
    <n v="13"/>
    <n v="390.53"/>
    <n v="5076.8900000000003"/>
    <n v="18"/>
    <n v="5"/>
  </r>
  <r>
    <s v="PO10281"/>
    <x v="0"/>
    <s v="Control Valve"/>
    <s v="Chicago DC"/>
    <s v="Branch E"/>
    <x v="80"/>
    <d v="2025-04-17T00:00:00"/>
    <d v="2025-04-19T00:00:00"/>
    <d v="2025-04-22T00:00:00"/>
    <x v="0"/>
    <n v="157"/>
    <n v="464.87"/>
    <n v="72984.59"/>
    <n v="5"/>
    <n v="2"/>
  </r>
  <r>
    <s v="PO10284"/>
    <x v="4"/>
    <s v="Automation Sensor"/>
    <s v="Orlando DC"/>
    <s v="Branch F"/>
    <x v="5"/>
    <d v="2025-03-29T00:00:00"/>
    <d v="2025-04-01T00:00:00"/>
    <d v="2025-04-05T00:00:00"/>
    <x v="0"/>
    <n v="24"/>
    <n v="544.08000000000004"/>
    <n v="13057.92"/>
    <n v="10"/>
    <n v="3"/>
  </r>
  <r>
    <s v="PO10286"/>
    <x v="0"/>
    <s v="Control Valve"/>
    <s v="Chicago DC"/>
    <s v="Branch E"/>
    <x v="81"/>
    <d v="2025-04-23T00:00:00"/>
    <d v="2025-04-24T00:00:00"/>
    <d v="2025-04-26T00:00:00"/>
    <x v="0"/>
    <n v="59"/>
    <n v="428.09"/>
    <n v="25257.31"/>
    <n v="12"/>
    <n v="1"/>
  </r>
  <r>
    <s v="PO10287"/>
    <x v="6"/>
    <s v="Hydraulic Pump"/>
    <s v="Phoenix DC"/>
    <s v="Branch A"/>
    <x v="39"/>
    <d v="2025-03-20T00:00:00"/>
    <d v="2025-03-22T00:00:00"/>
    <d v="2025-03-26T00:00:00"/>
    <x v="0"/>
    <n v="179"/>
    <n v="651.48"/>
    <n v="116614.92"/>
    <n v="7"/>
    <n v="2"/>
  </r>
  <r>
    <s v="PO10298"/>
    <x v="4"/>
    <s v="Ball Bearings"/>
    <s v="Chicago DC"/>
    <s v="Branch B"/>
    <x v="46"/>
    <d v="2025-03-03T00:00:00"/>
    <d v="2025-03-05T00:00:00"/>
    <d v="2025-03-07T00:00:00"/>
    <x v="0"/>
    <n v="23"/>
    <n v="28.94"/>
    <n v="665.62"/>
    <n v="10"/>
    <n v="2"/>
  </r>
  <r>
    <s v="PO10299"/>
    <x v="1"/>
    <s v="Automation Sensor"/>
    <s v="Phoenix DC"/>
    <s v="Branch A"/>
    <x v="48"/>
    <d v="2025-01-09T00:00:00"/>
    <d v="2025-01-14T00:00:00"/>
    <d v="2025-01-18T00:00:00"/>
    <x v="0"/>
    <n v="165"/>
    <n v="610.04999999999995"/>
    <n v="100658.25"/>
    <n v="8"/>
    <n v="5"/>
  </r>
  <r>
    <s v="PO10301"/>
    <x v="2"/>
    <s v="Ball Bearings"/>
    <s v="Dallas DC"/>
    <s v="Branch A"/>
    <x v="82"/>
    <d v="2025-02-20T00:00:00"/>
    <d v="2025-02-22T00:00:00"/>
    <d v="2025-02-23T00:00:00"/>
    <x v="0"/>
    <n v="116"/>
    <n v="624.52"/>
    <n v="72444.320000000007"/>
    <n v="11"/>
    <n v="2"/>
  </r>
  <r>
    <s v="PO10304"/>
    <x v="6"/>
    <s v="Power Transmission Belt"/>
    <s v="Phoenix DC"/>
    <s v="Branch C"/>
    <x v="83"/>
    <d v="2025-04-21T00:00:00"/>
    <d v="2025-04-26T00:00:00"/>
    <d v="2025-04-29T00:00:00"/>
    <x v="0"/>
    <n v="35"/>
    <n v="659.14"/>
    <n v="23069.9"/>
    <n v="20"/>
    <n v="5"/>
  </r>
  <r>
    <s v="PO10310"/>
    <x v="3"/>
    <s v="Drive Unit"/>
    <s v="Dallas DC"/>
    <s v="Branch F"/>
    <x v="26"/>
    <d v="2025-02-02T00:00:00"/>
    <d v="2025-02-04T00:00:00"/>
    <d v="2025-02-07T00:00:00"/>
    <x v="0"/>
    <n v="67"/>
    <n v="402.38"/>
    <n v="26959.46"/>
    <n v="9"/>
    <n v="2"/>
  </r>
  <r>
    <s v="PO10312"/>
    <x v="2"/>
    <s v="Gearbox Assembly"/>
    <s v="Phoenix DC"/>
    <s v="Branch D"/>
    <x v="84"/>
    <d v="2025-01-16T00:00:00"/>
    <d v="2025-01-19T00:00:00"/>
    <d v="2025-01-23T00:00:00"/>
    <x v="0"/>
    <n v="191"/>
    <n v="271.77"/>
    <n v="51908.07"/>
    <n v="18"/>
    <n v="3"/>
  </r>
  <r>
    <s v="PO10314"/>
    <x v="4"/>
    <s v="Ball Bearings"/>
    <s v="Phoenix DC"/>
    <s v="Branch F"/>
    <x v="83"/>
    <d v="2025-04-10T00:00:00"/>
    <d v="2025-04-12T00:00:00"/>
    <d v="2025-04-13T00:00:00"/>
    <x v="0"/>
    <n v="168"/>
    <n v="699.67"/>
    <n v="117544.56"/>
    <n v="6"/>
    <n v="2"/>
  </r>
  <r>
    <s v="PO10318"/>
    <x v="7"/>
    <s v="Control Valve"/>
    <s v="Dallas DC"/>
    <s v="Branch A"/>
    <x v="20"/>
    <d v="2025-01-23T00:00:00"/>
    <d v="2025-01-26T00:00:00"/>
    <d v="2025-01-28T00:00:00"/>
    <x v="0"/>
    <n v="106"/>
    <n v="443.74"/>
    <n v="47036.44"/>
    <n v="7"/>
    <n v="3"/>
  </r>
  <r>
    <s v="PO10319"/>
    <x v="9"/>
    <s v="Hydraulic Pump"/>
    <s v="Atlanta DC"/>
    <s v="Branch A"/>
    <x v="85"/>
    <d v="2025-03-03T00:00:00"/>
    <d v="2025-03-05T00:00:00"/>
    <d v="2025-03-10T00:00:00"/>
    <x v="0"/>
    <n v="123"/>
    <n v="100.09"/>
    <n v="12311.07"/>
    <n v="12"/>
    <n v="2"/>
  </r>
  <r>
    <s v="PO10321"/>
    <x v="0"/>
    <s v="Hydraulic Pump"/>
    <s v="Atlanta DC"/>
    <s v="Branch D"/>
    <x v="86"/>
    <d v="2025-01-15T00:00:00"/>
    <d v="2025-01-18T00:00:00"/>
    <d v="2025-01-22T00:00:00"/>
    <x v="0"/>
    <n v="28"/>
    <n v="770.74"/>
    <n v="21580.720000000001"/>
    <n v="9"/>
    <n v="3"/>
  </r>
  <r>
    <s v="PO10322"/>
    <x v="1"/>
    <s v="Automation Sensor"/>
    <s v="Dallas DC"/>
    <s v="Branch C"/>
    <x v="70"/>
    <d v="2025-01-12T00:00:00"/>
    <d v="2025-01-14T00:00:00"/>
    <d v="2025-01-18T00:00:00"/>
    <x v="0"/>
    <n v="106"/>
    <n v="429.27"/>
    <n v="45502.62"/>
    <n v="7"/>
    <n v="2"/>
  </r>
  <r>
    <s v="PO10325"/>
    <x v="3"/>
    <s v="Power Transmission Belt"/>
    <s v="Phoenix DC"/>
    <s v="Branch C"/>
    <x v="43"/>
    <d v="2025-03-05T00:00:00"/>
    <d v="2025-03-08T00:00:00"/>
    <d v="2025-03-11T00:00:00"/>
    <x v="0"/>
    <n v="129"/>
    <n v="302.27"/>
    <n v="38992.83"/>
    <n v="18"/>
    <n v="3"/>
  </r>
  <r>
    <s v="PO10328"/>
    <x v="3"/>
    <s v="Ball Bearings"/>
    <s v="Chicago DC"/>
    <s v="Branch E"/>
    <x v="87"/>
    <d v="2025-01-29T00:00:00"/>
    <d v="2025-01-31T00:00:00"/>
    <d v="2025-02-03T00:00:00"/>
    <x v="0"/>
    <n v="183"/>
    <n v="314.58"/>
    <n v="57568.14"/>
    <n v="8"/>
    <n v="2"/>
  </r>
  <r>
    <s v="PO10329"/>
    <x v="9"/>
    <s v="Drive Unit"/>
    <s v="Atlanta DC"/>
    <s v="Branch A"/>
    <x v="88"/>
    <d v="2025-03-19T00:00:00"/>
    <d v="2025-03-21T00:00:00"/>
    <d v="2025-03-23T00:00:00"/>
    <x v="0"/>
    <n v="131"/>
    <n v="467.67"/>
    <n v="61264.77"/>
    <n v="7"/>
    <n v="2"/>
  </r>
  <r>
    <s v="PO10332"/>
    <x v="9"/>
    <s v="Industrial Motor"/>
    <s v="Phoenix DC"/>
    <s v="Branch F"/>
    <x v="40"/>
    <d v="2025-01-18T00:00:00"/>
    <d v="2025-01-21T00:00:00"/>
    <d v="2025-01-25T00:00:00"/>
    <x v="0"/>
    <n v="91"/>
    <n v="266.97000000000003"/>
    <n v="24294.27"/>
    <n v="11"/>
    <n v="3"/>
  </r>
  <r>
    <s v="PO10336"/>
    <x v="4"/>
    <s v="Power Transmission Belt"/>
    <s v="Chicago DC"/>
    <s v="Branch A"/>
    <x v="17"/>
    <d v="2025-04-09T00:00:00"/>
    <d v="2025-04-12T00:00:00"/>
    <d v="2025-04-15T00:00:00"/>
    <x v="0"/>
    <n v="72"/>
    <n v="190.09"/>
    <n v="13686.48"/>
    <n v="16"/>
    <n v="3"/>
  </r>
  <r>
    <s v="PO10338"/>
    <x v="2"/>
    <s v="Industrial Motor"/>
    <s v="Phoenix DC"/>
    <s v="Branch A"/>
    <x v="43"/>
    <d v="2025-02-22T00:00:00"/>
    <d v="2025-02-27T00:00:00"/>
    <d v="2025-03-03T00:00:00"/>
    <x v="0"/>
    <n v="152"/>
    <n v="558.55999999999995"/>
    <n v="84901.119999999995"/>
    <n v="9"/>
    <n v="5"/>
  </r>
  <r>
    <s v="PO10350"/>
    <x v="9"/>
    <s v="Industrial Motor"/>
    <s v="Orlando DC"/>
    <s v="Branch E"/>
    <x v="89"/>
    <d v="2025-05-01T00:00:00"/>
    <d v="2025-05-06T00:00:00"/>
    <d v="2025-05-11T00:00:00"/>
    <x v="0"/>
    <n v="112"/>
    <n v="108.95"/>
    <n v="12202.4"/>
    <n v="8"/>
    <n v="5"/>
  </r>
  <r>
    <s v="PO10354"/>
    <x v="2"/>
    <s v="Industrial Motor"/>
    <s v="Chicago DC"/>
    <s v="Branch F"/>
    <x v="90"/>
    <d v="2025-02-16T00:00:00"/>
    <d v="2025-02-21T00:00:00"/>
    <d v="2025-02-25T00:00:00"/>
    <x v="0"/>
    <n v="180"/>
    <n v="97.01"/>
    <n v="17461.8"/>
    <n v="12"/>
    <n v="5"/>
  </r>
  <r>
    <s v="PO10355"/>
    <x v="4"/>
    <s v="Gearbox Assembly"/>
    <s v="Phoenix DC"/>
    <s v="Branch B"/>
    <x v="41"/>
    <d v="2025-03-13T00:00:00"/>
    <d v="2025-03-18T00:00:00"/>
    <d v="2025-03-21T00:00:00"/>
    <x v="0"/>
    <n v="111"/>
    <n v="520.16"/>
    <n v="57737.760000000002"/>
    <n v="20"/>
    <n v="5"/>
  </r>
  <r>
    <s v="PO10356"/>
    <x v="8"/>
    <s v="Industrial Motor"/>
    <s v="Atlanta DC"/>
    <s v="Branch C"/>
    <x v="55"/>
    <d v="2025-05-06T00:00:00"/>
    <d v="2025-05-09T00:00:00"/>
    <d v="2025-05-13T00:00:00"/>
    <x v="0"/>
    <n v="100"/>
    <n v="700.55"/>
    <n v="70055"/>
    <n v="12"/>
    <n v="3"/>
  </r>
  <r>
    <s v="PO10357"/>
    <x v="6"/>
    <s v="Industrial Motor"/>
    <s v="Dallas DC"/>
    <s v="Branch B"/>
    <x v="91"/>
    <d v="2025-04-12T00:00:00"/>
    <d v="2025-04-13T00:00:00"/>
    <d v="2025-04-15T00:00:00"/>
    <x v="0"/>
    <n v="139"/>
    <n v="749.24"/>
    <n v="104144.36"/>
    <n v="12"/>
    <n v="1"/>
  </r>
  <r>
    <s v="PO10360"/>
    <x v="3"/>
    <s v="Gearbox Assembly"/>
    <s v="Dallas DC"/>
    <s v="Branch F"/>
    <x v="92"/>
    <d v="2025-04-25T00:00:00"/>
    <d v="2025-04-28T00:00:00"/>
    <d v="2025-04-29T00:00:00"/>
    <x v="0"/>
    <n v="103"/>
    <n v="56.46"/>
    <n v="5815.38"/>
    <n v="10"/>
    <n v="3"/>
  </r>
  <r>
    <s v="PO10362"/>
    <x v="1"/>
    <s v="Automation Sensor"/>
    <s v="Chicago DC"/>
    <s v="Branch D"/>
    <x v="93"/>
    <d v="2025-02-05T00:00:00"/>
    <d v="2025-02-07T00:00:00"/>
    <d v="2025-02-10T00:00:00"/>
    <x v="0"/>
    <n v="186"/>
    <n v="551.69000000000005"/>
    <n v="102614.34"/>
    <n v="9"/>
    <n v="2"/>
  </r>
  <r>
    <s v="PO10363"/>
    <x v="4"/>
    <s v="Ball Bearings"/>
    <s v="Orlando DC"/>
    <s v="Branch F"/>
    <x v="76"/>
    <d v="2025-02-08T00:00:00"/>
    <d v="2025-02-09T00:00:00"/>
    <d v="2025-02-12T00:00:00"/>
    <x v="0"/>
    <n v="164"/>
    <n v="346.62"/>
    <n v="56845.68"/>
    <n v="7"/>
    <n v="1"/>
  </r>
  <r>
    <s v="PO10364"/>
    <x v="5"/>
    <s v="Hydraulic Pump"/>
    <s v="Chicago DC"/>
    <s v="Branch C"/>
    <x v="92"/>
    <d v="2025-04-26T00:00:00"/>
    <d v="2025-04-28T00:00:00"/>
    <d v="2025-05-03T00:00:00"/>
    <x v="0"/>
    <n v="81"/>
    <n v="586.48"/>
    <n v="47504.88"/>
    <n v="10"/>
    <n v="2"/>
  </r>
  <r>
    <s v="PO10365"/>
    <x v="7"/>
    <s v="Gearbox Assembly"/>
    <s v="Dallas DC"/>
    <s v="Branch E"/>
    <x v="73"/>
    <d v="2025-03-31T00:00:00"/>
    <d v="2025-04-05T00:00:00"/>
    <d v="2025-04-08T00:00:00"/>
    <x v="0"/>
    <n v="187"/>
    <n v="810.08"/>
    <n v="151484.96"/>
    <n v="13"/>
    <n v="5"/>
  </r>
  <r>
    <s v="PO10367"/>
    <x v="3"/>
    <s v="Gearbox Assembly"/>
    <s v="Chicago DC"/>
    <s v="Branch F"/>
    <x v="55"/>
    <d v="2025-05-06T00:00:00"/>
    <d v="2025-05-07T00:00:00"/>
    <d v="2025-05-11T00:00:00"/>
    <x v="0"/>
    <n v="154"/>
    <n v="606.24"/>
    <n v="93360.960000000006"/>
    <n v="10"/>
    <n v="1"/>
  </r>
  <r>
    <s v="PO10368"/>
    <x v="0"/>
    <s v="Control Valve"/>
    <s v="Dallas DC"/>
    <s v="Branch F"/>
    <x v="53"/>
    <d v="2025-04-08T00:00:00"/>
    <d v="2025-04-11T00:00:00"/>
    <d v="2025-04-16T00:00:00"/>
    <x v="0"/>
    <n v="126"/>
    <n v="771.95"/>
    <n v="97265.7"/>
    <n v="9"/>
    <n v="3"/>
  </r>
  <r>
    <s v="PO10371"/>
    <x v="2"/>
    <s v="Hydraulic Pump"/>
    <s v="Phoenix DC"/>
    <s v="Branch E"/>
    <x v="19"/>
    <d v="2025-03-05T00:00:00"/>
    <d v="2025-03-10T00:00:00"/>
    <d v="2025-03-15T00:00:00"/>
    <x v="0"/>
    <n v="163"/>
    <n v="74.47"/>
    <n v="12138.61"/>
    <n v="8"/>
    <n v="5"/>
  </r>
  <r>
    <s v="PO10374"/>
    <x v="4"/>
    <s v="Industrial Motor"/>
    <s v="Orlando DC"/>
    <s v="Branch D"/>
    <x v="94"/>
    <d v="2025-02-11T00:00:00"/>
    <d v="2025-02-16T00:00:00"/>
    <d v="2025-02-18T00:00:00"/>
    <x v="0"/>
    <n v="45"/>
    <n v="423.8"/>
    <n v="19071"/>
    <n v="20"/>
    <n v="5"/>
  </r>
  <r>
    <s v="PO10375"/>
    <x v="8"/>
    <s v="Gearbox Assembly"/>
    <s v="Chicago DC"/>
    <s v="Branch A"/>
    <x v="73"/>
    <d v="2025-04-01T00:00:00"/>
    <d v="2025-04-02T00:00:00"/>
    <d v="2025-04-06T00:00:00"/>
    <x v="0"/>
    <n v="103"/>
    <n v="18.899999999999999"/>
    <n v="1946.7"/>
    <n v="10"/>
    <n v="1"/>
  </r>
  <r>
    <s v="PO10377"/>
    <x v="6"/>
    <s v="Control Valve"/>
    <s v="Chicago DC"/>
    <s v="Branch D"/>
    <x v="11"/>
    <d v="2025-01-21T00:00:00"/>
    <d v="2025-01-22T00:00:00"/>
    <d v="2025-01-27T00:00:00"/>
    <x v="0"/>
    <n v="47"/>
    <n v="69.510000000000005"/>
    <n v="3266.97"/>
    <n v="5"/>
    <n v="1"/>
  </r>
  <r>
    <s v="PO10378"/>
    <x v="0"/>
    <s v="Drive Unit"/>
    <s v="Chicago DC"/>
    <s v="Branch B"/>
    <x v="36"/>
    <d v="2025-04-15T00:00:00"/>
    <d v="2025-04-17T00:00:00"/>
    <d v="2025-04-22T00:00:00"/>
    <x v="0"/>
    <n v="180"/>
    <n v="846.22"/>
    <n v="152319.6"/>
    <n v="13"/>
    <n v="2"/>
  </r>
  <r>
    <s v="PO10379"/>
    <x v="2"/>
    <s v="Ball Bearings"/>
    <s v="Orlando DC"/>
    <s v="Branch E"/>
    <x v="72"/>
    <d v="2025-02-06T00:00:00"/>
    <d v="2025-02-07T00:00:00"/>
    <d v="2025-02-08T00:00:00"/>
    <x v="0"/>
    <n v="191"/>
    <n v="837.37"/>
    <n v="159937.67000000001"/>
    <n v="16"/>
    <n v="1"/>
  </r>
  <r>
    <s v="PO10383"/>
    <x v="4"/>
    <s v="Hydraulic Pump"/>
    <s v="Phoenix DC"/>
    <s v="Branch B"/>
    <x v="95"/>
    <d v="2025-04-05T00:00:00"/>
    <d v="2025-04-06T00:00:00"/>
    <d v="2025-04-07T00:00:00"/>
    <x v="0"/>
    <n v="163"/>
    <n v="113.31"/>
    <n v="18469.53"/>
    <n v="6"/>
    <n v="1"/>
  </r>
  <r>
    <s v="PO10384"/>
    <x v="1"/>
    <s v="Control Valve"/>
    <s v="Dallas DC"/>
    <s v="Branch A"/>
    <x v="51"/>
    <d v="2025-03-25T00:00:00"/>
    <d v="2025-03-30T00:00:00"/>
    <d v="2025-04-02T00:00:00"/>
    <x v="0"/>
    <n v="56"/>
    <n v="313.86"/>
    <n v="17576.16"/>
    <n v="11"/>
    <n v="5"/>
  </r>
  <r>
    <s v="PO10387"/>
    <x v="0"/>
    <s v="Automation Sensor"/>
    <s v="Atlanta DC"/>
    <s v="Branch A"/>
    <x v="12"/>
    <d v="2025-01-18T00:00:00"/>
    <d v="2025-01-23T00:00:00"/>
    <d v="2025-01-24T00:00:00"/>
    <x v="0"/>
    <n v="97"/>
    <n v="684.33"/>
    <n v="66380.009999999995"/>
    <n v="10"/>
    <n v="5"/>
  </r>
  <r>
    <s v="PO10396"/>
    <x v="4"/>
    <s v="Drive Unit"/>
    <s v="Atlanta DC"/>
    <s v="Branch A"/>
    <x v="96"/>
    <d v="2025-01-21T00:00:00"/>
    <d v="2025-01-22T00:00:00"/>
    <d v="2025-01-27T00:00:00"/>
    <x v="0"/>
    <n v="132"/>
    <n v="388.3"/>
    <n v="51255.6"/>
    <n v="11"/>
    <n v="1"/>
  </r>
  <r>
    <s v="PO10398"/>
    <x v="3"/>
    <s v="Drive Unit"/>
    <s v="Chicago DC"/>
    <s v="Branch F"/>
    <x v="14"/>
    <d v="2025-02-19T00:00:00"/>
    <d v="2025-02-24T00:00:00"/>
    <d v="2025-02-26T00:00:00"/>
    <x v="0"/>
    <n v="89"/>
    <n v="482.73"/>
    <n v="42962.97"/>
    <n v="8"/>
    <n v="5"/>
  </r>
  <r>
    <s v="PO10400"/>
    <x v="4"/>
    <s v="Control Valve"/>
    <s v="Orlando DC"/>
    <s v="Branch B"/>
    <x v="4"/>
    <d v="2025-04-30T00:00:00"/>
    <d v="2025-05-01T00:00:00"/>
    <d v="2025-05-03T00:00:00"/>
    <x v="0"/>
    <n v="195"/>
    <n v="617.5"/>
    <n v="120412.5"/>
    <n v="6"/>
    <n v="1"/>
  </r>
  <r>
    <s v="PO10401"/>
    <x v="4"/>
    <s v="Automation Sensor"/>
    <s v="Atlanta DC"/>
    <s v="Branch F"/>
    <x v="97"/>
    <d v="2025-01-29T00:00:00"/>
    <d v="2025-02-03T00:00:00"/>
    <d v="2025-02-07T00:00:00"/>
    <x v="0"/>
    <n v="53"/>
    <n v="613.52"/>
    <n v="32516.560000000001"/>
    <n v="9"/>
    <n v="5"/>
  </r>
  <r>
    <s v="PO10402"/>
    <x v="3"/>
    <s v="Industrial Motor"/>
    <s v="Phoenix DC"/>
    <s v="Branch A"/>
    <x v="92"/>
    <d v="2025-05-01T00:00:00"/>
    <d v="2025-05-03T00:00:00"/>
    <d v="2025-05-04T00:00:00"/>
    <x v="0"/>
    <n v="120"/>
    <n v="396.92"/>
    <n v="47630.400000000001"/>
    <n v="15"/>
    <n v="2"/>
  </r>
  <r>
    <s v="PO10404"/>
    <x v="1"/>
    <s v="Gearbox Assembly"/>
    <s v="Chicago DC"/>
    <s v="Branch D"/>
    <x v="30"/>
    <d v="2025-03-04T00:00:00"/>
    <d v="2025-03-06T00:00:00"/>
    <d v="2025-03-11T00:00:00"/>
    <x v="0"/>
    <n v="134"/>
    <n v="750.96"/>
    <n v="100628.64"/>
    <n v="15"/>
    <n v="2"/>
  </r>
  <r>
    <s v="PO10406"/>
    <x v="0"/>
    <s v="Industrial Motor"/>
    <s v="Dallas DC"/>
    <s v="Branch E"/>
    <x v="53"/>
    <d v="2025-04-16T00:00:00"/>
    <d v="2025-04-18T00:00:00"/>
    <d v="2025-04-20T00:00:00"/>
    <x v="0"/>
    <n v="164"/>
    <n v="611.51"/>
    <n v="100287.64"/>
    <n v="16"/>
    <n v="2"/>
  </r>
  <r>
    <s v="PO10407"/>
    <x v="5"/>
    <s v="Automation Sensor"/>
    <s v="Orlando DC"/>
    <s v="Branch C"/>
    <x v="98"/>
    <d v="2025-03-25T00:00:00"/>
    <d v="2025-03-28T00:00:00"/>
    <d v="2025-03-31T00:00:00"/>
    <x v="0"/>
    <n v="199"/>
    <n v="309.12"/>
    <n v="61514.879999999997"/>
    <n v="17"/>
    <n v="3"/>
  </r>
  <r>
    <s v="PO10408"/>
    <x v="6"/>
    <s v="Ball Bearings"/>
    <s v="Dallas DC"/>
    <s v="Branch C"/>
    <x v="71"/>
    <d v="2025-05-02T00:00:00"/>
    <d v="2025-05-07T00:00:00"/>
    <d v="2025-05-08T00:00:00"/>
    <x v="0"/>
    <n v="11"/>
    <n v="333.03"/>
    <n v="3663.33"/>
    <n v="14"/>
    <n v="5"/>
  </r>
  <r>
    <s v="PO10411"/>
    <x v="7"/>
    <s v="Gearbox Assembly"/>
    <s v="Orlando DC"/>
    <s v="Branch D"/>
    <x v="30"/>
    <d v="2025-02-28T00:00:00"/>
    <d v="2025-03-05T00:00:00"/>
    <d v="2025-03-08T00:00:00"/>
    <x v="0"/>
    <n v="18"/>
    <n v="25.83"/>
    <n v="464.94"/>
    <n v="14"/>
    <n v="5"/>
  </r>
  <r>
    <s v="PO10412"/>
    <x v="2"/>
    <s v="Gearbox Assembly"/>
    <s v="Chicago DC"/>
    <s v="Branch D"/>
    <x v="44"/>
    <d v="2025-04-23T00:00:00"/>
    <d v="2025-04-26T00:00:00"/>
    <d v="2025-04-29T00:00:00"/>
    <x v="0"/>
    <n v="144"/>
    <n v="631.61"/>
    <n v="90951.84"/>
    <n v="9"/>
    <n v="3"/>
  </r>
  <r>
    <s v="PO10415"/>
    <x v="3"/>
    <s v="Power Transmission Belt"/>
    <s v="Atlanta DC"/>
    <s v="Branch F"/>
    <x v="99"/>
    <d v="2025-03-21T00:00:00"/>
    <d v="2025-03-26T00:00:00"/>
    <d v="2025-03-31T00:00:00"/>
    <x v="0"/>
    <n v="82"/>
    <n v="424.61"/>
    <n v="34818.019999999997"/>
    <n v="8"/>
    <n v="5"/>
  </r>
  <r>
    <s v="PO10417"/>
    <x v="3"/>
    <s v="Drive Unit"/>
    <s v="Orlando DC"/>
    <s v="Branch F"/>
    <x v="93"/>
    <d v="2025-02-04T00:00:00"/>
    <d v="2025-02-07T00:00:00"/>
    <d v="2025-02-10T00:00:00"/>
    <x v="0"/>
    <n v="80"/>
    <n v="197.4"/>
    <n v="15792"/>
    <n v="9"/>
    <n v="3"/>
  </r>
  <r>
    <s v="PO10418"/>
    <x v="3"/>
    <s v="Gearbox Assembly"/>
    <s v="Atlanta DC"/>
    <s v="Branch F"/>
    <x v="28"/>
    <d v="2025-01-06T00:00:00"/>
    <d v="2025-01-09T00:00:00"/>
    <d v="2025-01-12T00:00:00"/>
    <x v="0"/>
    <n v="169"/>
    <n v="527.44000000000005"/>
    <n v="89137.36"/>
    <n v="7"/>
    <n v="3"/>
  </r>
  <r>
    <s v="PO10419"/>
    <x v="6"/>
    <s v="Power Transmission Belt"/>
    <s v="Orlando DC"/>
    <s v="Branch E"/>
    <x v="100"/>
    <d v="2025-05-02T00:00:00"/>
    <d v="2025-05-03T00:00:00"/>
    <d v="2025-05-04T00:00:00"/>
    <x v="0"/>
    <n v="143"/>
    <n v="619.52"/>
    <n v="88591.360000000001"/>
    <n v="9"/>
    <n v="1"/>
  </r>
  <r>
    <s v="PO10421"/>
    <x v="2"/>
    <s v="Automation Sensor"/>
    <s v="Atlanta DC"/>
    <s v="Branch F"/>
    <x v="17"/>
    <d v="2025-04-09T00:00:00"/>
    <d v="2025-04-14T00:00:00"/>
    <d v="2025-04-16T00:00:00"/>
    <x v="0"/>
    <n v="113"/>
    <n v="712.78"/>
    <n v="80544.14"/>
    <n v="18"/>
    <n v="5"/>
  </r>
  <r>
    <s v="PO10423"/>
    <x v="6"/>
    <s v="Automation Sensor"/>
    <s v="Atlanta DC"/>
    <s v="Branch E"/>
    <x v="55"/>
    <d v="2025-05-04T00:00:00"/>
    <d v="2025-05-05T00:00:00"/>
    <d v="2025-05-09T00:00:00"/>
    <x v="0"/>
    <n v="108"/>
    <n v="376.58"/>
    <n v="40670.639999999999"/>
    <n v="8"/>
    <n v="1"/>
  </r>
  <r>
    <s v="PO10425"/>
    <x v="5"/>
    <s v="Automation Sensor"/>
    <s v="Phoenix DC"/>
    <s v="Branch F"/>
    <x v="29"/>
    <d v="2025-02-22T00:00:00"/>
    <d v="2025-02-25T00:00:00"/>
    <d v="2025-02-28T00:00:00"/>
    <x v="0"/>
    <n v="77"/>
    <n v="654"/>
    <n v="50358"/>
    <n v="18"/>
    <n v="3"/>
  </r>
  <r>
    <s v="PO10427"/>
    <x v="8"/>
    <s v="Industrial Motor"/>
    <s v="Atlanta DC"/>
    <s v="Branch A"/>
    <x v="18"/>
    <d v="2025-04-12T00:00:00"/>
    <d v="2025-04-17T00:00:00"/>
    <d v="2025-04-20T00:00:00"/>
    <x v="0"/>
    <n v="7"/>
    <n v="477.19"/>
    <n v="3340.33"/>
    <n v="20"/>
    <n v="5"/>
  </r>
  <r>
    <s v="PO10428"/>
    <x v="0"/>
    <s v="Gearbox Assembly"/>
    <s v="Phoenix DC"/>
    <s v="Branch F"/>
    <x v="84"/>
    <d v="2025-01-13T00:00:00"/>
    <d v="2025-01-15T00:00:00"/>
    <d v="2025-01-19T00:00:00"/>
    <x v="0"/>
    <n v="26"/>
    <n v="269.42"/>
    <n v="7004.92"/>
    <n v="14"/>
    <n v="2"/>
  </r>
  <r>
    <s v="PO10432"/>
    <x v="1"/>
    <s v="Industrial Motor"/>
    <s v="Atlanta DC"/>
    <s v="Branch C"/>
    <x v="90"/>
    <d v="2025-02-23T00:00:00"/>
    <d v="2025-02-25T00:00:00"/>
    <d v="2025-02-27T00:00:00"/>
    <x v="0"/>
    <n v="98"/>
    <n v="689.43"/>
    <n v="67564.14"/>
    <n v="16"/>
    <n v="2"/>
  </r>
  <r>
    <s v="PO10435"/>
    <x v="6"/>
    <s v="Automation Sensor"/>
    <s v="Orlando DC"/>
    <s v="Branch B"/>
    <x v="101"/>
    <d v="2025-02-17T00:00:00"/>
    <d v="2025-02-20T00:00:00"/>
    <d v="2025-02-21T00:00:00"/>
    <x v="0"/>
    <n v="9"/>
    <n v="724.41"/>
    <n v="6519.69"/>
    <n v="17"/>
    <n v="3"/>
  </r>
  <r>
    <s v="PO10436"/>
    <x v="9"/>
    <s v="Power Transmission Belt"/>
    <s v="Phoenix DC"/>
    <s v="Branch B"/>
    <x v="55"/>
    <d v="2025-04-30T00:00:00"/>
    <d v="2025-05-02T00:00:00"/>
    <d v="2025-05-05T00:00:00"/>
    <x v="0"/>
    <n v="143"/>
    <n v="409.21"/>
    <n v="58517.03"/>
    <n v="5"/>
    <n v="2"/>
  </r>
  <r>
    <s v="PO10438"/>
    <x v="5"/>
    <s v="Industrial Motor"/>
    <s v="Dallas DC"/>
    <s v="Branch E"/>
    <x v="1"/>
    <d v="2025-04-01T00:00:00"/>
    <d v="2025-04-06T00:00:00"/>
    <d v="2025-04-11T00:00:00"/>
    <x v="0"/>
    <n v="198"/>
    <n v="444.3"/>
    <n v="87971.4"/>
    <n v="11"/>
    <n v="5"/>
  </r>
  <r>
    <s v="PO10439"/>
    <x v="6"/>
    <s v="Gearbox Assembly"/>
    <s v="Phoenix DC"/>
    <s v="Branch B"/>
    <x v="88"/>
    <d v="2025-03-27T00:00:00"/>
    <d v="2025-04-01T00:00:00"/>
    <d v="2025-04-03T00:00:00"/>
    <x v="0"/>
    <n v="128"/>
    <n v="799.21"/>
    <n v="102298.88"/>
    <n v="18"/>
    <n v="5"/>
  </r>
  <r>
    <s v="PO10442"/>
    <x v="4"/>
    <s v="Control Valve"/>
    <s v="Phoenix DC"/>
    <s v="Branch B"/>
    <x v="88"/>
    <d v="2025-03-19T00:00:00"/>
    <d v="2025-03-20T00:00:00"/>
    <d v="2025-03-24T00:00:00"/>
    <x v="0"/>
    <n v="172"/>
    <n v="765.02"/>
    <n v="131583.44"/>
    <n v="6"/>
    <n v="1"/>
  </r>
  <r>
    <s v="PO10444"/>
    <x v="3"/>
    <s v="Hydraulic Pump"/>
    <s v="Dallas DC"/>
    <s v="Branch D"/>
    <x v="40"/>
    <d v="2025-01-21T00:00:00"/>
    <d v="2025-01-24T00:00:00"/>
    <d v="2025-01-27T00:00:00"/>
    <x v="0"/>
    <n v="52"/>
    <n v="146.38999999999999"/>
    <n v="7612.28"/>
    <n v="14"/>
    <n v="3"/>
  </r>
  <r>
    <s v="PO10445"/>
    <x v="3"/>
    <s v="Industrial Motor"/>
    <s v="Phoenix DC"/>
    <s v="Branch A"/>
    <x v="80"/>
    <d v="2025-04-22T00:00:00"/>
    <d v="2025-04-25T00:00:00"/>
    <d v="2025-04-26T00:00:00"/>
    <x v="0"/>
    <n v="127"/>
    <n v="414.98"/>
    <n v="52702.46"/>
    <n v="11"/>
    <n v="3"/>
  </r>
  <r>
    <s v="PO10447"/>
    <x v="7"/>
    <s v="Hydraulic Pump"/>
    <s v="Dallas DC"/>
    <s v="Branch D"/>
    <x v="101"/>
    <d v="2025-02-08T00:00:00"/>
    <d v="2025-02-10T00:00:00"/>
    <d v="2025-02-14T00:00:00"/>
    <x v="0"/>
    <n v="149"/>
    <n v="547.41"/>
    <n v="81564.09"/>
    <n v="7"/>
    <n v="2"/>
  </r>
  <r>
    <s v="PO10450"/>
    <x v="9"/>
    <s v="Drive Unit"/>
    <s v="Orlando DC"/>
    <s v="Branch E"/>
    <x v="26"/>
    <d v="2025-02-06T00:00:00"/>
    <d v="2025-02-11T00:00:00"/>
    <d v="2025-02-16T00:00:00"/>
    <x v="0"/>
    <n v="43"/>
    <n v="520.6"/>
    <n v="22385.8"/>
    <n v="16"/>
    <n v="5"/>
  </r>
  <r>
    <s v="PO10451"/>
    <x v="9"/>
    <s v="Ball Bearings"/>
    <s v="Phoenix DC"/>
    <s v="Branch E"/>
    <x v="68"/>
    <d v="2025-01-20T00:00:00"/>
    <d v="2025-01-22T00:00:00"/>
    <d v="2025-01-27T00:00:00"/>
    <x v="0"/>
    <n v="28"/>
    <n v="417.67"/>
    <n v="11694.76"/>
    <n v="17"/>
    <n v="2"/>
  </r>
  <r>
    <s v="PO10452"/>
    <x v="5"/>
    <s v="Automation Sensor"/>
    <s v="Chicago DC"/>
    <s v="Branch E"/>
    <x v="46"/>
    <d v="2025-03-03T00:00:00"/>
    <d v="2025-03-08T00:00:00"/>
    <d v="2025-03-09T00:00:00"/>
    <x v="0"/>
    <n v="114"/>
    <n v="206.62"/>
    <n v="23554.68"/>
    <n v="13"/>
    <n v="5"/>
  </r>
  <r>
    <s v="PO10457"/>
    <x v="1"/>
    <s v="Industrial Motor"/>
    <s v="Atlanta DC"/>
    <s v="Branch F"/>
    <x v="102"/>
    <d v="2025-03-24T00:00:00"/>
    <d v="2025-03-25T00:00:00"/>
    <d v="2025-03-28T00:00:00"/>
    <x v="0"/>
    <n v="152"/>
    <n v="302.54000000000002"/>
    <n v="45986.080000000002"/>
    <n v="12"/>
    <n v="1"/>
  </r>
  <r>
    <s v="PO10459"/>
    <x v="1"/>
    <s v="Hydraulic Pump"/>
    <s v="Atlanta DC"/>
    <s v="Branch C"/>
    <x v="73"/>
    <d v="2025-03-26T00:00:00"/>
    <d v="2025-03-31T00:00:00"/>
    <d v="2025-04-01T00:00:00"/>
    <x v="0"/>
    <n v="125"/>
    <n v="788.09"/>
    <n v="98511.25"/>
    <n v="8"/>
    <n v="5"/>
  </r>
  <r>
    <s v="PO10461"/>
    <x v="8"/>
    <s v="Control Valve"/>
    <s v="Dallas DC"/>
    <s v="Branch A"/>
    <x v="75"/>
    <d v="2025-04-15T00:00:00"/>
    <d v="2025-04-18T00:00:00"/>
    <d v="2025-04-22T00:00:00"/>
    <x v="0"/>
    <n v="56"/>
    <n v="725.22"/>
    <n v="40612.32"/>
    <n v="8"/>
    <n v="3"/>
  </r>
  <r>
    <s v="PO10462"/>
    <x v="6"/>
    <s v="Power Transmission Belt"/>
    <s v="Dallas DC"/>
    <s v="Branch F"/>
    <x v="61"/>
    <d v="2025-04-23T00:00:00"/>
    <d v="2025-04-25T00:00:00"/>
    <d v="2025-04-30T00:00:00"/>
    <x v="0"/>
    <n v="162"/>
    <n v="156.52000000000001"/>
    <n v="25356.240000000002"/>
    <n v="14"/>
    <n v="2"/>
  </r>
  <r>
    <s v="PO10464"/>
    <x v="7"/>
    <s v="Gearbox Assembly"/>
    <s v="Orlando DC"/>
    <s v="Branch B"/>
    <x v="42"/>
    <d v="2025-03-19T00:00:00"/>
    <d v="2025-03-22T00:00:00"/>
    <d v="2025-03-27T00:00:00"/>
    <x v="0"/>
    <n v="94"/>
    <n v="305.14"/>
    <n v="28683.16"/>
    <n v="10"/>
    <n v="3"/>
  </r>
  <r>
    <s v="PO10465"/>
    <x v="8"/>
    <s v="Hydraulic Pump"/>
    <s v="Orlando DC"/>
    <s v="Branch C"/>
    <x v="65"/>
    <d v="2025-03-09T00:00:00"/>
    <d v="2025-03-11T00:00:00"/>
    <d v="2025-03-12T00:00:00"/>
    <x v="0"/>
    <n v="109"/>
    <n v="437.71"/>
    <n v="47710.39"/>
    <n v="11"/>
    <n v="2"/>
  </r>
  <r>
    <s v="PO10466"/>
    <x v="3"/>
    <s v="Control Valve"/>
    <s v="Phoenix DC"/>
    <s v="Branch D"/>
    <x v="103"/>
    <d v="2025-02-17T00:00:00"/>
    <d v="2025-02-22T00:00:00"/>
    <d v="2025-02-27T00:00:00"/>
    <x v="0"/>
    <n v="142"/>
    <n v="693.98"/>
    <n v="98545.16"/>
    <n v="9"/>
    <n v="5"/>
  </r>
  <r>
    <s v="PO10467"/>
    <x v="3"/>
    <s v="Ball Bearings"/>
    <s v="Phoenix DC"/>
    <s v="Branch A"/>
    <x v="88"/>
    <d v="2025-03-24T00:00:00"/>
    <d v="2025-03-29T00:00:00"/>
    <d v="2025-03-31T00:00:00"/>
    <x v="0"/>
    <n v="122"/>
    <n v="584.13"/>
    <n v="71263.86"/>
    <n v="15"/>
    <n v="5"/>
  </r>
  <r>
    <s v="PO10468"/>
    <x v="1"/>
    <s v="Power Transmission Belt"/>
    <s v="Orlando DC"/>
    <s v="Branch E"/>
    <x v="101"/>
    <d v="2025-02-07T00:00:00"/>
    <d v="2025-02-08T00:00:00"/>
    <d v="2025-02-10T00:00:00"/>
    <x v="0"/>
    <n v="63"/>
    <n v="683.13"/>
    <n v="43037.19"/>
    <n v="5"/>
    <n v="1"/>
  </r>
  <r>
    <s v="PO10469"/>
    <x v="0"/>
    <s v="Hydraulic Pump"/>
    <s v="Orlando DC"/>
    <s v="Branch B"/>
    <x v="28"/>
    <d v="2025-01-16T00:00:00"/>
    <d v="2025-01-21T00:00:00"/>
    <d v="2025-01-24T00:00:00"/>
    <x v="0"/>
    <n v="28"/>
    <n v="348.11"/>
    <n v="9747.08"/>
    <n v="19"/>
    <n v="5"/>
  </r>
  <r>
    <s v="PO10471"/>
    <x v="3"/>
    <s v="Power Transmission Belt"/>
    <s v="Dallas DC"/>
    <s v="Branch A"/>
    <x v="79"/>
    <d v="2025-04-11T00:00:00"/>
    <d v="2025-04-16T00:00:00"/>
    <d v="2025-04-19T00:00:00"/>
    <x v="0"/>
    <n v="56"/>
    <n v="712.18"/>
    <n v="39882.080000000002"/>
    <n v="11"/>
    <n v="5"/>
  </r>
  <r>
    <s v="PO10472"/>
    <x v="6"/>
    <s v="Drive Unit"/>
    <s v="Chicago DC"/>
    <s v="Branch E"/>
    <x v="104"/>
    <d v="2025-01-20T00:00:00"/>
    <d v="2025-01-23T00:00:00"/>
    <d v="2025-01-27T00:00:00"/>
    <x v="0"/>
    <n v="200"/>
    <n v="730.67"/>
    <n v="146134"/>
    <n v="7"/>
    <n v="3"/>
  </r>
  <r>
    <s v="PO10473"/>
    <x v="7"/>
    <s v="Automation Sensor"/>
    <s v="Dallas DC"/>
    <s v="Branch E"/>
    <x v="60"/>
    <d v="2025-02-20T00:00:00"/>
    <d v="2025-02-22T00:00:00"/>
    <d v="2025-02-25T00:00:00"/>
    <x v="0"/>
    <n v="200"/>
    <n v="779.87"/>
    <n v="155974"/>
    <n v="12"/>
    <n v="2"/>
  </r>
  <r>
    <s v="PO10474"/>
    <x v="0"/>
    <s v="Automation Sensor"/>
    <s v="Dallas DC"/>
    <s v="Branch D"/>
    <x v="11"/>
    <d v="2025-01-20T00:00:00"/>
    <d v="2025-01-22T00:00:00"/>
    <d v="2025-01-26T00:00:00"/>
    <x v="0"/>
    <n v="143"/>
    <n v="42.19"/>
    <n v="6033.17"/>
    <n v="5"/>
    <n v="2"/>
  </r>
  <r>
    <s v="PO10475"/>
    <x v="2"/>
    <s v="Automation Sensor"/>
    <s v="Orlando DC"/>
    <s v="Branch A"/>
    <x v="104"/>
    <d v="2025-01-30T00:00:00"/>
    <d v="2025-02-01T00:00:00"/>
    <d v="2025-02-05T00:00:00"/>
    <x v="0"/>
    <n v="7"/>
    <n v="24.87"/>
    <n v="174.09"/>
    <n v="16"/>
    <n v="2"/>
  </r>
  <r>
    <s v="PO10478"/>
    <x v="1"/>
    <s v="Gearbox Assembly"/>
    <s v="Dallas DC"/>
    <s v="Branch F"/>
    <x v="27"/>
    <d v="2025-02-03T00:00:00"/>
    <d v="2025-02-06T00:00:00"/>
    <d v="2025-02-09T00:00:00"/>
    <x v="0"/>
    <n v="147"/>
    <n v="375.9"/>
    <n v="55257.3"/>
    <n v="7"/>
    <n v="3"/>
  </r>
  <r>
    <s v="PO10483"/>
    <x v="1"/>
    <s v="Control Valve"/>
    <s v="Phoenix DC"/>
    <s v="Branch F"/>
    <x v="82"/>
    <d v="2025-02-24T00:00:00"/>
    <d v="2025-02-26T00:00:00"/>
    <d v="2025-03-02T00:00:00"/>
    <x v="0"/>
    <n v="119"/>
    <n v="757.84"/>
    <n v="90182.96"/>
    <n v="15"/>
    <n v="2"/>
  </r>
  <r>
    <s v="PO10484"/>
    <x v="4"/>
    <s v="Hydraulic Pump"/>
    <s v="Dallas DC"/>
    <s v="Branch C"/>
    <x v="20"/>
    <d v="2025-01-24T00:00:00"/>
    <d v="2025-01-27T00:00:00"/>
    <d v="2025-01-30T00:00:00"/>
    <x v="0"/>
    <n v="161"/>
    <n v="492.32"/>
    <n v="79263.520000000004"/>
    <n v="8"/>
    <n v="3"/>
  </r>
  <r>
    <s v="PO10488"/>
    <x v="5"/>
    <s v="Industrial Motor"/>
    <s v="Dallas DC"/>
    <s v="Branch E"/>
    <x v="67"/>
    <d v="2025-01-24T00:00:00"/>
    <d v="2025-01-27T00:00:00"/>
    <d v="2025-01-31T00:00:00"/>
    <x v="0"/>
    <n v="68"/>
    <n v="630.89"/>
    <n v="42900.52"/>
    <n v="7"/>
    <n v="3"/>
  </r>
  <r>
    <s v="PO10490"/>
    <x v="3"/>
    <s v="Automation Sensor"/>
    <s v="Orlando DC"/>
    <s v="Branch F"/>
    <x v="58"/>
    <d v="2025-02-01T00:00:00"/>
    <d v="2025-02-03T00:00:00"/>
    <d v="2025-02-05T00:00:00"/>
    <x v="0"/>
    <n v="121"/>
    <n v="541.91999999999996"/>
    <n v="65572.320000000007"/>
    <n v="16"/>
    <n v="2"/>
  </r>
  <r>
    <s v="PO10493"/>
    <x v="2"/>
    <s v="Automation Sensor"/>
    <s v="Orlando DC"/>
    <s v="Branch D"/>
    <x v="63"/>
    <d v="2025-04-18T00:00:00"/>
    <d v="2025-04-23T00:00:00"/>
    <d v="2025-04-26T00:00:00"/>
    <x v="0"/>
    <n v="6"/>
    <n v="472.76"/>
    <n v="2836.56"/>
    <n v="14"/>
    <n v="5"/>
  </r>
  <r>
    <s v="PO10495"/>
    <x v="7"/>
    <s v="Hydraulic Pump"/>
    <s v="Phoenix DC"/>
    <s v="Branch E"/>
    <x v="83"/>
    <d v="2025-04-17T00:00:00"/>
    <d v="2025-04-22T00:00:00"/>
    <d v="2025-04-25T00:00:00"/>
    <x v="0"/>
    <n v="22"/>
    <n v="167.31"/>
    <n v="3680.82"/>
    <n v="16"/>
    <n v="5"/>
  </r>
  <r>
    <s v="PO10496"/>
    <x v="6"/>
    <s v="Ball Bearings"/>
    <s v="Dallas DC"/>
    <s v="Branch A"/>
    <x v="52"/>
    <d v="2025-03-06T00:00:00"/>
    <d v="2025-03-09T00:00:00"/>
    <d v="2025-03-14T00:00:00"/>
    <x v="0"/>
    <n v="87"/>
    <n v="31.2"/>
    <n v="2714.4"/>
    <n v="10"/>
    <n v="3"/>
  </r>
  <r>
    <s v="PO10498"/>
    <x v="9"/>
    <s v="Ball Bearings"/>
    <s v="Chicago DC"/>
    <s v="Branch D"/>
    <x v="61"/>
    <d v="2025-04-26T00:00:00"/>
    <d v="2025-04-27T00:00:00"/>
    <d v="2025-04-30T00:00:00"/>
    <x v="0"/>
    <n v="13"/>
    <n v="290.76"/>
    <n v="3779.88"/>
    <n v="16"/>
    <n v="1"/>
  </r>
  <r>
    <s v="PO10503"/>
    <x v="4"/>
    <s v="Gearbox Assembly"/>
    <s v="Dallas DC"/>
    <s v="Branch D"/>
    <x v="74"/>
    <d v="2025-03-31T00:00:00"/>
    <d v="2025-04-03T00:00:00"/>
    <d v="2025-04-07T00:00:00"/>
    <x v="0"/>
    <n v="44"/>
    <n v="325.12"/>
    <n v="14305.28"/>
    <n v="18"/>
    <n v="3"/>
  </r>
  <r>
    <s v="PO10504"/>
    <x v="6"/>
    <s v="Power Transmission Belt"/>
    <s v="Dallas DC"/>
    <s v="Branch F"/>
    <x v="35"/>
    <d v="2025-01-25T00:00:00"/>
    <d v="2025-01-27T00:00:00"/>
    <d v="2025-01-30T00:00:00"/>
    <x v="0"/>
    <n v="199"/>
    <n v="536.99"/>
    <n v="106861.01"/>
    <n v="15"/>
    <n v="2"/>
  </r>
  <r>
    <s v="PO10507"/>
    <x v="7"/>
    <s v="Industrial Motor"/>
    <s v="Atlanta DC"/>
    <s v="Branch E"/>
    <x v="105"/>
    <d v="2025-03-10T00:00:00"/>
    <d v="2025-03-12T00:00:00"/>
    <d v="2025-03-14T00:00:00"/>
    <x v="0"/>
    <n v="87"/>
    <n v="626.55999999999995"/>
    <n v="54510.720000000001"/>
    <n v="8"/>
    <n v="2"/>
  </r>
  <r>
    <s v="PO10516"/>
    <x v="9"/>
    <s v="Industrial Motor"/>
    <s v="Orlando DC"/>
    <s v="Branch D"/>
    <x v="39"/>
    <d v="2025-03-23T00:00:00"/>
    <d v="2025-03-26T00:00:00"/>
    <d v="2025-03-30T00:00:00"/>
    <x v="0"/>
    <n v="114"/>
    <n v="752.16"/>
    <n v="85746.240000000005"/>
    <n v="11"/>
    <n v="3"/>
  </r>
  <r>
    <s v="PO10517"/>
    <x v="0"/>
    <s v="Power Transmission Belt"/>
    <s v="Orlando DC"/>
    <s v="Branch C"/>
    <x v="62"/>
    <d v="2025-03-14T00:00:00"/>
    <d v="2025-03-17T00:00:00"/>
    <d v="2025-03-19T00:00:00"/>
    <x v="0"/>
    <n v="158"/>
    <n v="384.92"/>
    <n v="60817.36"/>
    <n v="11"/>
    <n v="3"/>
  </r>
  <r>
    <s v="PO10518"/>
    <x v="3"/>
    <s v="Gearbox Assembly"/>
    <s v="Phoenix DC"/>
    <s v="Branch E"/>
    <x v="106"/>
    <d v="2025-04-27T00:00:00"/>
    <d v="2025-04-28T00:00:00"/>
    <d v="2025-05-02T00:00:00"/>
    <x v="0"/>
    <n v="87"/>
    <n v="523.03"/>
    <n v="45503.61"/>
    <n v="9"/>
    <n v="1"/>
  </r>
  <r>
    <s v="PO10523"/>
    <x v="7"/>
    <s v="Ball Bearings"/>
    <s v="Orlando DC"/>
    <s v="Branch D"/>
    <x v="105"/>
    <d v="2025-03-18T00:00:00"/>
    <d v="2025-03-21T00:00:00"/>
    <d v="2025-03-26T00:00:00"/>
    <x v="0"/>
    <n v="29"/>
    <n v="512.02"/>
    <n v="14848.58"/>
    <n v="17"/>
    <n v="3"/>
  </r>
  <r>
    <s v="PO10528"/>
    <x v="5"/>
    <s v="Automation Sensor"/>
    <s v="Orlando DC"/>
    <s v="Branch B"/>
    <x v="85"/>
    <d v="2025-03-04T00:00:00"/>
    <d v="2025-03-05T00:00:00"/>
    <d v="2025-03-07T00:00:00"/>
    <x v="0"/>
    <n v="128"/>
    <n v="482.01"/>
    <n v="61697.279999999999"/>
    <n v="12"/>
    <n v="1"/>
  </r>
  <r>
    <s v="PO10529"/>
    <x v="1"/>
    <s v="Power Transmission Belt"/>
    <s v="Orlando DC"/>
    <s v="Branch A"/>
    <x v="102"/>
    <d v="2025-03-25T00:00:00"/>
    <d v="2025-03-28T00:00:00"/>
    <d v="2025-04-02T00:00:00"/>
    <x v="0"/>
    <n v="23"/>
    <n v="237.32"/>
    <n v="5458.36"/>
    <n v="15"/>
    <n v="3"/>
  </r>
  <r>
    <s v="PO10530"/>
    <x v="3"/>
    <s v="Ball Bearings"/>
    <s v="Chicago DC"/>
    <s v="Branch B"/>
    <x v="77"/>
    <d v="2025-01-28T00:00:00"/>
    <d v="2025-01-29T00:00:00"/>
    <d v="2025-02-02T00:00:00"/>
    <x v="0"/>
    <n v="53"/>
    <n v="282.82"/>
    <n v="14989.46"/>
    <n v="14"/>
    <n v="1"/>
  </r>
  <r>
    <s v="PO10531"/>
    <x v="2"/>
    <s v="Gearbox Assembly"/>
    <s v="Chicago DC"/>
    <s v="Branch B"/>
    <x v="16"/>
    <d v="2025-02-26T00:00:00"/>
    <d v="2025-03-03T00:00:00"/>
    <d v="2025-03-07T00:00:00"/>
    <x v="0"/>
    <n v="117"/>
    <n v="52.47"/>
    <n v="6138.99"/>
    <n v="17"/>
    <n v="5"/>
  </r>
  <r>
    <s v="PO10533"/>
    <x v="2"/>
    <s v="Gearbox Assembly"/>
    <s v="Dallas DC"/>
    <s v="Branch E"/>
    <x v="103"/>
    <d v="2025-02-27T00:00:00"/>
    <d v="2025-03-04T00:00:00"/>
    <d v="2025-03-05T00:00:00"/>
    <x v="0"/>
    <n v="125"/>
    <n v="33.99"/>
    <n v="4248.75"/>
    <n v="19"/>
    <n v="5"/>
  </r>
  <r>
    <s v="PO10539"/>
    <x v="6"/>
    <s v="Control Valve"/>
    <s v="Dallas DC"/>
    <s v="Branch B"/>
    <x v="62"/>
    <d v="2025-03-13T00:00:00"/>
    <d v="2025-03-18T00:00:00"/>
    <d v="2025-03-19T00:00:00"/>
    <x v="0"/>
    <n v="104"/>
    <n v="758.49"/>
    <n v="78882.960000000006"/>
    <n v="12"/>
    <n v="5"/>
  </r>
  <r>
    <s v="PO10541"/>
    <x v="9"/>
    <s v="Gearbox Assembly"/>
    <s v="Dallas DC"/>
    <s v="Branch E"/>
    <x v="39"/>
    <d v="2025-03-20T00:00:00"/>
    <d v="2025-03-21T00:00:00"/>
    <d v="2025-03-24T00:00:00"/>
    <x v="0"/>
    <n v="89"/>
    <n v="390.06"/>
    <n v="34715.339999999997"/>
    <n v="6"/>
    <n v="1"/>
  </r>
  <r>
    <s v="PO10542"/>
    <x v="8"/>
    <s v="Industrial Motor"/>
    <s v="Phoenix DC"/>
    <s v="Branch B"/>
    <x v="98"/>
    <d v="2025-03-24T00:00:00"/>
    <d v="2025-03-29T00:00:00"/>
    <d v="2025-03-31T00:00:00"/>
    <x v="0"/>
    <n v="84"/>
    <n v="589.91999999999996"/>
    <n v="49553.279999999999"/>
    <n v="18"/>
    <n v="5"/>
  </r>
  <r>
    <s v="PO10544"/>
    <x v="7"/>
    <s v="Industrial Motor"/>
    <s v="Dallas DC"/>
    <s v="Branch A"/>
    <x v="71"/>
    <d v="2025-05-02T00:00:00"/>
    <d v="2025-05-03T00:00:00"/>
    <d v="2025-05-06T00:00:00"/>
    <x v="0"/>
    <n v="168"/>
    <n v="794.26"/>
    <n v="133435.68"/>
    <n v="10"/>
    <n v="1"/>
  </r>
  <r>
    <s v="PO10549"/>
    <x v="1"/>
    <s v="Ball Bearings"/>
    <s v="Orlando DC"/>
    <s v="Branch A"/>
    <x v="78"/>
    <d v="2025-03-05T00:00:00"/>
    <d v="2025-03-10T00:00:00"/>
    <d v="2025-03-11T00:00:00"/>
    <x v="0"/>
    <n v="102"/>
    <n v="616.37"/>
    <n v="62869.74"/>
    <n v="14"/>
    <n v="5"/>
  </r>
  <r>
    <s v="PO10550"/>
    <x v="1"/>
    <s v="Ball Bearings"/>
    <s v="Orlando DC"/>
    <s v="Branch D"/>
    <x v="52"/>
    <d v="2025-03-09T00:00:00"/>
    <d v="2025-03-14T00:00:00"/>
    <d v="2025-03-15T00:00:00"/>
    <x v="0"/>
    <n v="67"/>
    <n v="448.12"/>
    <n v="30024.04"/>
    <n v="15"/>
    <n v="5"/>
  </r>
  <r>
    <s v="PO10552"/>
    <x v="5"/>
    <s v="Hydraulic Pump"/>
    <s v="Orlando DC"/>
    <s v="Branch A"/>
    <x v="78"/>
    <d v="2025-03-03T00:00:00"/>
    <d v="2025-03-05T00:00:00"/>
    <d v="2025-03-06T00:00:00"/>
    <x v="0"/>
    <n v="41"/>
    <n v="402.09"/>
    <n v="16485.689999999999"/>
    <n v="9"/>
    <n v="2"/>
  </r>
  <r>
    <s v="PO10556"/>
    <x v="9"/>
    <s v="Industrial Motor"/>
    <s v="Dallas DC"/>
    <s v="Branch B"/>
    <x v="43"/>
    <d v="2025-02-21T00:00:00"/>
    <d v="2025-02-26T00:00:00"/>
    <d v="2025-02-28T00:00:00"/>
    <x v="0"/>
    <n v="149"/>
    <n v="742.54"/>
    <n v="110638.46"/>
    <n v="8"/>
    <n v="5"/>
  </r>
  <r>
    <s v="PO10559"/>
    <x v="3"/>
    <s v="Ball Bearings"/>
    <s v="Dallas DC"/>
    <s v="Branch E"/>
    <x v="8"/>
    <d v="2025-02-06T00:00:00"/>
    <d v="2025-02-08T00:00:00"/>
    <d v="2025-02-12T00:00:00"/>
    <x v="0"/>
    <n v="118"/>
    <n v="81.3"/>
    <n v="9593.4"/>
    <n v="8"/>
    <n v="2"/>
  </r>
  <r>
    <s v="PO10560"/>
    <x v="9"/>
    <s v="Ball Bearings"/>
    <s v="Chicago DC"/>
    <s v="Branch A"/>
    <x v="107"/>
    <d v="2025-02-17T00:00:00"/>
    <d v="2025-02-20T00:00:00"/>
    <d v="2025-02-25T00:00:00"/>
    <x v="0"/>
    <n v="58"/>
    <n v="55.85"/>
    <n v="3239.3"/>
    <n v="15"/>
    <n v="3"/>
  </r>
  <r>
    <s v="PO10561"/>
    <x v="4"/>
    <s v="Ball Bearings"/>
    <s v="Atlanta DC"/>
    <s v="Branch D"/>
    <x v="20"/>
    <d v="2025-01-22T00:00:00"/>
    <d v="2025-01-25T00:00:00"/>
    <d v="2025-01-30T00:00:00"/>
    <x v="0"/>
    <n v="81"/>
    <n v="291.48"/>
    <n v="23609.88"/>
    <n v="6"/>
    <n v="3"/>
  </r>
  <r>
    <s v="PO10562"/>
    <x v="3"/>
    <s v="Industrial Motor"/>
    <s v="Phoenix DC"/>
    <s v="Branch F"/>
    <x v="87"/>
    <d v="2025-01-28T00:00:00"/>
    <d v="2025-01-31T00:00:00"/>
    <d v="2025-02-03T00:00:00"/>
    <x v="0"/>
    <n v="182"/>
    <n v="599.37"/>
    <n v="109085.34"/>
    <n v="8"/>
    <n v="3"/>
  </r>
  <r>
    <s v="PO10564"/>
    <x v="2"/>
    <s v="Ball Bearings"/>
    <s v="Atlanta DC"/>
    <s v="Branch E"/>
    <x v="58"/>
    <d v="2025-01-22T00:00:00"/>
    <d v="2025-01-25T00:00:00"/>
    <d v="2025-01-28T00:00:00"/>
    <x v="0"/>
    <n v="110"/>
    <n v="453.08"/>
    <n v="49838.8"/>
    <n v="7"/>
    <n v="3"/>
  </r>
  <r>
    <s v="PO10565"/>
    <x v="7"/>
    <s v="Automation Sensor"/>
    <s v="Orlando DC"/>
    <s v="Branch C"/>
    <x v="36"/>
    <d v="2025-04-17T00:00:00"/>
    <d v="2025-04-19T00:00:00"/>
    <d v="2025-04-20T00:00:00"/>
    <x v="0"/>
    <n v="181"/>
    <n v="519.99"/>
    <n v="94118.19"/>
    <n v="15"/>
    <n v="2"/>
  </r>
  <r>
    <s v="PO10566"/>
    <x v="5"/>
    <s v="Drive Unit"/>
    <s v="Phoenix DC"/>
    <s v="Branch B"/>
    <x v="101"/>
    <d v="2025-02-14T00:00:00"/>
    <d v="2025-02-16T00:00:00"/>
    <d v="2025-02-21T00:00:00"/>
    <x v="0"/>
    <n v="38"/>
    <n v="527.92999999999995"/>
    <n v="20061.34"/>
    <n v="13"/>
    <n v="2"/>
  </r>
  <r>
    <s v="PO10570"/>
    <x v="5"/>
    <s v="Industrial Motor"/>
    <s v="Phoenix DC"/>
    <s v="Branch E"/>
    <x v="66"/>
    <d v="2025-02-20T00:00:00"/>
    <d v="2025-02-23T00:00:00"/>
    <d v="2025-02-27T00:00:00"/>
    <x v="0"/>
    <n v="14"/>
    <n v="554.12"/>
    <n v="7757.68"/>
    <n v="11"/>
    <n v="3"/>
  </r>
  <r>
    <s v="PO10571"/>
    <x v="7"/>
    <s v="Power Transmission Belt"/>
    <s v="Orlando DC"/>
    <s v="Branch E"/>
    <x v="4"/>
    <d v="2025-05-03T00:00:00"/>
    <d v="2025-05-04T00:00:00"/>
    <d v="2025-05-08T00:00:00"/>
    <x v="0"/>
    <n v="19"/>
    <n v="712.31"/>
    <n v="13533.89"/>
    <n v="9"/>
    <n v="1"/>
  </r>
  <r>
    <s v="PO10572"/>
    <x v="9"/>
    <s v="Control Valve"/>
    <s v="Atlanta DC"/>
    <s v="Branch C"/>
    <x v="25"/>
    <d v="2025-01-09T00:00:00"/>
    <d v="2025-01-11T00:00:00"/>
    <d v="2025-01-14T00:00:00"/>
    <x v="0"/>
    <n v="95"/>
    <n v="70.290000000000006"/>
    <n v="6677.55"/>
    <n v="8"/>
    <n v="2"/>
  </r>
  <r>
    <s v="PO10573"/>
    <x v="4"/>
    <s v="Control Valve"/>
    <s v="Chicago DC"/>
    <s v="Branch F"/>
    <x v="43"/>
    <d v="2025-03-03T00:00:00"/>
    <d v="2025-03-05T00:00:00"/>
    <d v="2025-03-07T00:00:00"/>
    <x v="0"/>
    <n v="104"/>
    <n v="171.46"/>
    <n v="17831.84"/>
    <n v="15"/>
    <n v="2"/>
  </r>
  <r>
    <s v="PO10574"/>
    <x v="7"/>
    <s v="Gearbox Assembly"/>
    <s v="Orlando DC"/>
    <s v="Branch C"/>
    <x v="68"/>
    <d v="2025-01-12T00:00:00"/>
    <d v="2025-01-13T00:00:00"/>
    <d v="2025-01-14T00:00:00"/>
    <x v="0"/>
    <n v="65"/>
    <n v="325.27"/>
    <n v="21142.55"/>
    <n v="8"/>
    <n v="1"/>
  </r>
  <r>
    <s v="PO10576"/>
    <x v="4"/>
    <s v="Industrial Motor"/>
    <s v="Dallas DC"/>
    <s v="Branch F"/>
    <x v="108"/>
    <d v="2025-05-09T00:00:00"/>
    <d v="2025-05-12T00:00:00"/>
    <d v="2025-05-17T00:00:00"/>
    <x v="0"/>
    <n v="88"/>
    <n v="134.65"/>
    <n v="11849.2"/>
    <n v="13"/>
    <n v="3"/>
  </r>
  <r>
    <s v="PO10579"/>
    <x v="9"/>
    <s v="Industrial Motor"/>
    <s v="Chicago DC"/>
    <s v="Branch A"/>
    <x v="10"/>
    <d v="2025-02-13T00:00:00"/>
    <d v="2025-02-15T00:00:00"/>
    <d v="2025-02-18T00:00:00"/>
    <x v="0"/>
    <n v="176"/>
    <n v="113.24"/>
    <n v="19930.240000000002"/>
    <n v="9"/>
    <n v="2"/>
  </r>
  <r>
    <s v="PO10583"/>
    <x v="2"/>
    <s v="Hydraulic Pump"/>
    <s v="Phoenix DC"/>
    <s v="Branch E"/>
    <x v="5"/>
    <d v="2025-04-05T00:00:00"/>
    <d v="2025-04-08T00:00:00"/>
    <d v="2025-04-12T00:00:00"/>
    <x v="0"/>
    <n v="84"/>
    <n v="292.5"/>
    <n v="24570"/>
    <n v="17"/>
    <n v="3"/>
  </r>
  <r>
    <s v="PO10587"/>
    <x v="7"/>
    <s v="Drive Unit"/>
    <s v="Phoenix DC"/>
    <s v="Branch E"/>
    <x v="85"/>
    <d v="2025-03-07T00:00:00"/>
    <d v="2025-03-12T00:00:00"/>
    <d v="2025-03-13T00:00:00"/>
    <x v="0"/>
    <n v="171"/>
    <n v="74.22"/>
    <n v="12691.62"/>
    <n v="19"/>
    <n v="5"/>
  </r>
  <r>
    <s v="PO10588"/>
    <x v="0"/>
    <s v="Gearbox Assembly"/>
    <s v="Orlando DC"/>
    <s v="Branch D"/>
    <x v="9"/>
    <d v="2025-02-28T00:00:00"/>
    <d v="2025-03-02T00:00:00"/>
    <d v="2025-03-04T00:00:00"/>
    <x v="0"/>
    <n v="128"/>
    <n v="335.49"/>
    <n v="42942.720000000001"/>
    <n v="8"/>
    <n v="2"/>
  </r>
  <r>
    <s v="PO10589"/>
    <x v="4"/>
    <s v="Drive Unit"/>
    <s v="Atlanta DC"/>
    <s v="Branch E"/>
    <x v="61"/>
    <d v="2025-04-20T00:00:00"/>
    <d v="2025-04-22T00:00:00"/>
    <d v="2025-04-25T00:00:00"/>
    <x v="0"/>
    <n v="65"/>
    <n v="159.53"/>
    <n v="10369.450000000001"/>
    <n v="11"/>
    <n v="2"/>
  </r>
  <r>
    <s v="PO10591"/>
    <x v="4"/>
    <s v="Gearbox Assembly"/>
    <s v="Dallas DC"/>
    <s v="Branch E"/>
    <x v="109"/>
    <d v="2025-04-10T00:00:00"/>
    <d v="2025-04-15T00:00:00"/>
    <d v="2025-04-19T00:00:00"/>
    <x v="0"/>
    <n v="170"/>
    <n v="566.24"/>
    <n v="96260.800000000003"/>
    <n v="17"/>
    <n v="5"/>
  </r>
  <r>
    <s v="PO10592"/>
    <x v="8"/>
    <s v="Control Valve"/>
    <s v="Phoenix DC"/>
    <s v="Branch E"/>
    <x v="23"/>
    <d v="2025-05-11T00:00:00"/>
    <d v="2025-05-14T00:00:00"/>
    <d v="2025-05-15T00:00:00"/>
    <x v="0"/>
    <n v="174"/>
    <n v="139.6"/>
    <n v="24290.400000000001"/>
    <n v="18"/>
    <n v="3"/>
  </r>
  <r>
    <s v="PO10594"/>
    <x v="8"/>
    <s v="Ball Bearings"/>
    <s v="Atlanta DC"/>
    <s v="Branch F"/>
    <x v="28"/>
    <d v="2025-01-14T00:00:00"/>
    <d v="2025-01-16T00:00:00"/>
    <d v="2025-01-20T00:00:00"/>
    <x v="0"/>
    <n v="80"/>
    <n v="67.11"/>
    <n v="5368.8"/>
    <n v="14"/>
    <n v="2"/>
  </r>
  <r>
    <s v="PO10598"/>
    <x v="1"/>
    <s v="Industrial Motor"/>
    <s v="Phoenix DC"/>
    <s v="Branch E"/>
    <x v="58"/>
    <d v="2025-01-31T00:00:00"/>
    <d v="2025-02-05T00:00:00"/>
    <d v="2025-02-09T00:00:00"/>
    <x v="0"/>
    <n v="183"/>
    <n v="519.70000000000005"/>
    <n v="95105.1"/>
    <n v="18"/>
    <n v="5"/>
  </r>
  <r>
    <s v="PO10599"/>
    <x v="3"/>
    <s v="Ball Bearings"/>
    <s v="Orlando DC"/>
    <s v="Branch D"/>
    <x v="78"/>
    <d v="2025-03-07T00:00:00"/>
    <d v="2025-03-12T00:00:00"/>
    <d v="2025-03-16T00:00:00"/>
    <x v="0"/>
    <n v="62"/>
    <n v="170.14"/>
    <n v="10548.68"/>
    <n v="16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9A5B72-BCD4-417F-AE21-C3B5F76F5729}" name="PivotTable3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Order Date">
  <location ref="J2:K7" firstHeaderRow="1" firstDataRow="1" firstDataCol="1"/>
  <pivotFields count="17">
    <pivotField showAll="0"/>
    <pivotField showAll="0"/>
    <pivotField showAll="0"/>
    <pivotField showAll="0"/>
    <pivotField showAll="0"/>
    <pivotField axis="axisRow" numFmtId="164" showAll="0">
      <items count="111">
        <item x="84"/>
        <item x="28"/>
        <item x="25"/>
        <item x="54"/>
        <item x="68"/>
        <item x="48"/>
        <item x="70"/>
        <item x="86"/>
        <item x="40"/>
        <item x="96"/>
        <item x="35"/>
        <item x="12"/>
        <item x="77"/>
        <item x="104"/>
        <item x="11"/>
        <item x="58"/>
        <item x="20"/>
        <item x="67"/>
        <item x="13"/>
        <item x="72"/>
        <item x="87"/>
        <item x="64"/>
        <item x="97"/>
        <item x="26"/>
        <item x="94"/>
        <item x="93"/>
        <item x="27"/>
        <item x="8"/>
        <item x="2"/>
        <item x="76"/>
        <item x="101"/>
        <item x="24"/>
        <item x="107"/>
        <item x="10"/>
        <item x="29"/>
        <item x="32"/>
        <item x="90"/>
        <item x="60"/>
        <item x="82"/>
        <item x="66"/>
        <item x="103"/>
        <item x="16"/>
        <item x="38"/>
        <item x="14"/>
        <item x="43"/>
        <item x="30"/>
        <item x="59"/>
        <item x="85"/>
        <item x="9"/>
        <item x="46"/>
        <item x="78"/>
        <item x="41"/>
        <item x="52"/>
        <item x="65"/>
        <item x="19"/>
        <item x="105"/>
        <item x="50"/>
        <item x="62"/>
        <item x="49"/>
        <item x="69"/>
        <item x="56"/>
        <item x="98"/>
        <item x="42"/>
        <item x="102"/>
        <item x="88"/>
        <item x="39"/>
        <item x="74"/>
        <item x="0"/>
        <item x="99"/>
        <item x="51"/>
        <item x="31"/>
        <item x="37"/>
        <item x="5"/>
        <item x="73"/>
        <item x="57"/>
        <item x="7"/>
        <item x="1"/>
        <item x="17"/>
        <item x="18"/>
        <item x="109"/>
        <item x="95"/>
        <item x="91"/>
        <item x="53"/>
        <item x="45"/>
        <item x="36"/>
        <item x="79"/>
        <item x="83"/>
        <item x="22"/>
        <item x="6"/>
        <item x="63"/>
        <item x="75"/>
        <item x="61"/>
        <item x="81"/>
        <item x="15"/>
        <item x="80"/>
        <item x="21"/>
        <item x="3"/>
        <item x="44"/>
        <item x="92"/>
        <item x="106"/>
        <item x="33"/>
        <item x="34"/>
        <item x="71"/>
        <item x="100"/>
        <item x="4"/>
        <item x="23"/>
        <item x="55"/>
        <item x="89"/>
        <item x="108"/>
        <item x="47"/>
        <item t="default"/>
      </items>
    </pivotField>
    <pivotField numFmtId="164" showAll="0"/>
    <pivotField numFmtId="164" showAll="0"/>
    <pivotField numFmtId="164" showAll="0"/>
    <pivotField dataField="1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16"/>
    <field x="15"/>
    <field x="5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Late Orders" fld="9" subtotal="count" baseField="0" baseItem="0"/>
  </dataFields>
  <formats count="2">
    <format dxfId="66">
      <pivotArea field="9" type="button" dataOnly="0" labelOnly="1" outline="0"/>
    </format>
    <format dxfId="65">
      <pivotArea field="9" type="button" dataOnly="0" labelOnly="1" outline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726338-4BDA-4268-9388-021A6C52AE30}" name="PivotTable2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Vendor">
  <location ref="F2:H13" firstHeaderRow="0" firstDataRow="1" firstDataCol="1"/>
  <pivotFields count="17">
    <pivotField showAll="0"/>
    <pivotField axis="axisRow" showAll="0" sortType="ascending">
      <items count="11">
        <item x="9"/>
        <item x="1"/>
        <item x="5"/>
        <item x="8"/>
        <item x="4"/>
        <item x="0"/>
        <item x="3"/>
        <item x="2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numFmtId="164" showAll="0">
      <items count="111">
        <item x="84"/>
        <item x="28"/>
        <item x="25"/>
        <item x="54"/>
        <item x="68"/>
        <item x="48"/>
        <item x="70"/>
        <item x="86"/>
        <item x="40"/>
        <item x="96"/>
        <item x="35"/>
        <item x="12"/>
        <item x="77"/>
        <item x="104"/>
        <item x="11"/>
        <item x="58"/>
        <item x="20"/>
        <item x="67"/>
        <item x="13"/>
        <item x="72"/>
        <item x="87"/>
        <item x="64"/>
        <item x="97"/>
        <item x="26"/>
        <item x="94"/>
        <item x="93"/>
        <item x="27"/>
        <item x="8"/>
        <item x="2"/>
        <item x="76"/>
        <item x="101"/>
        <item x="24"/>
        <item x="107"/>
        <item x="10"/>
        <item x="29"/>
        <item x="32"/>
        <item x="90"/>
        <item x="60"/>
        <item x="82"/>
        <item x="66"/>
        <item x="103"/>
        <item x="16"/>
        <item x="38"/>
        <item x="14"/>
        <item x="43"/>
        <item x="30"/>
        <item x="59"/>
        <item x="85"/>
        <item x="9"/>
        <item x="46"/>
        <item x="78"/>
        <item x="41"/>
        <item x="52"/>
        <item x="65"/>
        <item x="19"/>
        <item x="105"/>
        <item x="50"/>
        <item x="62"/>
        <item x="49"/>
        <item x="69"/>
        <item x="56"/>
        <item x="98"/>
        <item x="42"/>
        <item x="102"/>
        <item x="88"/>
        <item x="39"/>
        <item x="74"/>
        <item x="0"/>
        <item x="99"/>
        <item x="51"/>
        <item x="31"/>
        <item x="37"/>
        <item x="5"/>
        <item x="73"/>
        <item x="57"/>
        <item x="7"/>
        <item x="1"/>
        <item x="17"/>
        <item x="18"/>
        <item x="109"/>
        <item x="95"/>
        <item x="91"/>
        <item x="53"/>
        <item x="45"/>
        <item x="36"/>
        <item x="79"/>
        <item x="83"/>
        <item x="22"/>
        <item x="6"/>
        <item x="63"/>
        <item x="75"/>
        <item x="61"/>
        <item x="81"/>
        <item x="15"/>
        <item x="80"/>
        <item x="21"/>
        <item x="3"/>
        <item x="44"/>
        <item x="92"/>
        <item x="106"/>
        <item x="33"/>
        <item x="34"/>
        <item x="71"/>
        <item x="100"/>
        <item x="4"/>
        <item x="23"/>
        <item x="55"/>
        <item x="89"/>
        <item x="108"/>
        <item x="47"/>
        <item t="default"/>
      </items>
    </pivotField>
    <pivotField numFmtId="164" showAll="0"/>
    <pivotField numFmtId="164" showAll="0"/>
    <pivotField numFmtId="164" showAll="0"/>
    <pivotField multipleItemSelectionAllowed="1" showAll="0"/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11">
    <i>
      <x v="3"/>
    </i>
    <i>
      <x v="2"/>
    </i>
    <i>
      <x v="1"/>
    </i>
    <i>
      <x v="5"/>
    </i>
    <i>
      <x v="7"/>
    </i>
    <i>
      <x v="8"/>
    </i>
    <i>
      <x v="9"/>
    </i>
    <i>
      <x/>
    </i>
    <i>
      <x v="6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Shipment Delay" fld="14" subtotal="average" baseField="1" baseItem="0"/>
    <dataField name="Count of Shipment Delays" fld="14" subtotal="count" baseField="1" baseItem="6"/>
  </dataFields>
  <formats count="2">
    <format dxfId="68">
      <pivotArea collapsedLevelsAreSubtotals="1" fieldPosition="0">
        <references count="1">
          <reference field="1" count="0"/>
        </references>
      </pivotArea>
    </format>
    <format dxfId="67">
      <pivotArea collapsedLevelsAreSubtotals="1" fieldPosition="0">
        <references count="2">
          <reference field="4294967294" count="1" selected="0">
            <x v="1"/>
          </reference>
          <reference field="1" count="0"/>
        </references>
      </pivotArea>
    </format>
  </formats>
  <conditionalFormats count="2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</references>
        </pivotArea>
      </pivotAreas>
    </conditionalFormat>
  </conditional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4B29C-7D14-41F6-BDAF-7C456B38C797}" name="PivotTable1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Order Status">
  <location ref="B2:D7" firstHeaderRow="0" firstDataRow="1" firstDataCol="1"/>
  <pivotFields count="17">
    <pivotField dataField="1" showAll="0"/>
    <pivotField showAll="0"/>
    <pivotField showAll="0"/>
    <pivotField showAll="0"/>
    <pivotField showAll="0"/>
    <pivotField numFmtId="164" showAll="0">
      <items count="120">
        <item x="100"/>
        <item x="64"/>
        <item x="48"/>
        <item x="90"/>
        <item x="1"/>
        <item x="24"/>
        <item x="41"/>
        <item x="86"/>
        <item x="106"/>
        <item x="85"/>
        <item x="23"/>
        <item x="54"/>
        <item x="26"/>
        <item x="76"/>
        <item x="102"/>
        <item x="82"/>
        <item x="25"/>
        <item x="93"/>
        <item x="40"/>
        <item x="44"/>
        <item x="27"/>
        <item x="61"/>
        <item x="108"/>
        <item x="59"/>
        <item x="37"/>
        <item x="49"/>
        <item x="29"/>
        <item x="107"/>
        <item x="70"/>
        <item x="17"/>
        <item x="14"/>
        <item x="7"/>
        <item x="50"/>
        <item x="112"/>
        <item x="46"/>
        <item x="89"/>
        <item x="21"/>
        <item x="57"/>
        <item x="68"/>
        <item x="81"/>
        <item x="62"/>
        <item x="101"/>
        <item x="97"/>
        <item x="115"/>
        <item x="35"/>
        <item x="78"/>
        <item x="31"/>
        <item x="47"/>
        <item x="65"/>
        <item x="94"/>
        <item x="19"/>
        <item x="20"/>
        <item x="80"/>
        <item x="103"/>
        <item x="84"/>
        <item x="74"/>
        <item x="60"/>
        <item x="96"/>
        <item x="111"/>
        <item x="15"/>
        <item x="98"/>
        <item x="110"/>
        <item x="9"/>
        <item x="66"/>
        <item x="87"/>
        <item x="53"/>
        <item x="105"/>
        <item x="56"/>
        <item x="116"/>
        <item x="55"/>
        <item x="117"/>
        <item x="109"/>
        <item x="79"/>
        <item x="36"/>
        <item x="2"/>
        <item x="51"/>
        <item x="77"/>
        <item x="67"/>
        <item x="32"/>
        <item x="11"/>
        <item x="0"/>
        <item x="92"/>
        <item x="16"/>
        <item x="5"/>
        <item x="38"/>
        <item x="39"/>
        <item x="12"/>
        <item x="118"/>
        <item x="58"/>
        <item x="83"/>
        <item x="43"/>
        <item x="13"/>
        <item x="73"/>
        <item x="22"/>
        <item x="104"/>
        <item x="42"/>
        <item x="3"/>
        <item x="95"/>
        <item x="75"/>
        <item x="71"/>
        <item x="88"/>
        <item x="33"/>
        <item x="18"/>
        <item x="34"/>
        <item x="8"/>
        <item x="6"/>
        <item x="99"/>
        <item x="52"/>
        <item x="69"/>
        <item x="72"/>
        <item x="63"/>
        <item x="114"/>
        <item x="10"/>
        <item x="45"/>
        <item x="91"/>
        <item x="113"/>
        <item x="4"/>
        <item x="28"/>
        <item x="30"/>
        <item t="default"/>
      </items>
    </pivotField>
    <pivotField numFmtId="164" showAll="0"/>
    <pivotField numFmtId="164" showAll="0"/>
    <pivotField numFmtId="164" showAll="0"/>
    <pivotField axis="axisRow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tatus Count" fld="0" subtotal="count" baseField="0" baseItem="0"/>
    <dataField name="% of Total" fld="0" subtotal="count" showDataAs="percentOfTotal" baseField="9" baseItem="0" numFmtId="10"/>
  </dataFields>
  <formats count="1">
    <format dxfId="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84AEEC-4BA6-4266-8C3B-844E90930901}" name="PivotTable4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istribution Center/Vendor">
  <location ref="B2:F58" firstHeaderRow="0" firstDataRow="1" firstDataCol="1"/>
  <pivotFields count="17">
    <pivotField dataField="1" showAll="0"/>
    <pivotField axis="axisRow" showAll="0">
      <items count="11">
        <item x="9"/>
        <item x="3"/>
        <item x="7"/>
        <item x="0"/>
        <item x="4"/>
        <item x="1"/>
        <item x="6"/>
        <item x="5"/>
        <item x="2"/>
        <item x="8"/>
        <item t="default"/>
      </items>
    </pivotField>
    <pivotField showAll="0"/>
    <pivotField axis="axisRow" showAll="0">
      <items count="6">
        <item x="2"/>
        <item x="4"/>
        <item x="1"/>
        <item x="0"/>
        <item x="3"/>
        <item t="default"/>
      </items>
    </pivotField>
    <pivotField showAll="0"/>
    <pivotField numFmtId="164" showAll="0">
      <items count="120">
        <item x="100"/>
        <item x="64"/>
        <item x="48"/>
        <item x="90"/>
        <item x="1"/>
        <item x="24"/>
        <item x="41"/>
        <item x="86"/>
        <item x="106"/>
        <item x="85"/>
        <item x="23"/>
        <item x="54"/>
        <item x="26"/>
        <item x="76"/>
        <item x="102"/>
        <item x="82"/>
        <item x="25"/>
        <item x="93"/>
        <item x="40"/>
        <item x="44"/>
        <item x="27"/>
        <item x="61"/>
        <item x="108"/>
        <item x="59"/>
        <item x="37"/>
        <item x="49"/>
        <item x="29"/>
        <item x="107"/>
        <item x="70"/>
        <item x="17"/>
        <item x="14"/>
        <item x="7"/>
        <item x="50"/>
        <item x="112"/>
        <item x="46"/>
        <item x="89"/>
        <item x="21"/>
        <item x="57"/>
        <item x="68"/>
        <item x="81"/>
        <item x="62"/>
        <item x="101"/>
        <item x="97"/>
        <item x="115"/>
        <item x="35"/>
        <item x="78"/>
        <item x="31"/>
        <item x="47"/>
        <item x="65"/>
        <item x="94"/>
        <item x="19"/>
        <item x="20"/>
        <item x="80"/>
        <item x="103"/>
        <item x="84"/>
        <item x="74"/>
        <item x="60"/>
        <item x="96"/>
        <item x="111"/>
        <item x="15"/>
        <item x="98"/>
        <item x="110"/>
        <item x="9"/>
        <item x="66"/>
        <item x="87"/>
        <item x="53"/>
        <item x="105"/>
        <item x="56"/>
        <item x="116"/>
        <item x="55"/>
        <item x="117"/>
        <item x="109"/>
        <item x="79"/>
        <item x="36"/>
        <item x="2"/>
        <item x="51"/>
        <item x="77"/>
        <item x="67"/>
        <item x="32"/>
        <item x="11"/>
        <item x="0"/>
        <item x="92"/>
        <item x="16"/>
        <item x="5"/>
        <item x="38"/>
        <item x="39"/>
        <item x="12"/>
        <item x="118"/>
        <item x="58"/>
        <item x="83"/>
        <item x="43"/>
        <item x="13"/>
        <item x="73"/>
        <item x="22"/>
        <item x="104"/>
        <item x="42"/>
        <item x="3"/>
        <item x="95"/>
        <item x="75"/>
        <item x="71"/>
        <item x="88"/>
        <item x="33"/>
        <item x="18"/>
        <item x="34"/>
        <item x="8"/>
        <item x="6"/>
        <item x="99"/>
        <item x="52"/>
        <item x="69"/>
        <item x="72"/>
        <item x="63"/>
        <item x="114"/>
        <item x="10"/>
        <item x="45"/>
        <item x="91"/>
        <item x="113"/>
        <item x="4"/>
        <item x="28"/>
        <item x="30"/>
        <item t="default"/>
      </items>
    </pivotField>
    <pivotField numFmtId="164" showAll="0"/>
    <pivotField numFmtId="164" showAll="0"/>
    <pivotField numFmtId="164" showAll="0"/>
    <pivotField showAll="0"/>
    <pivotField showAll="0"/>
    <pivotField showAll="0"/>
    <pivotField dataField="1" showAll="0"/>
    <pivotField dataField="1" showAll="0"/>
    <pivotField dataField="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3"/>
    <field x="1"/>
  </rowFields>
  <rowItems count="5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Order Count" fld="0" subtotal="count" baseField="0" baseItem="0"/>
    <dataField name="Average Lead Time Days" fld="13" subtotal="average" baseField="3" baseItem="0" numFmtId="1"/>
    <dataField name="Shipment Delay Count" fld="14" subtotal="count" baseField="3" baseItem="0"/>
    <dataField name="Total Order Value" fld="12" baseField="0" baseItem="0" numFmtId="176"/>
  </dataFields>
  <formats count="3">
    <format dxfId="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411F6-243E-4DCC-84C0-284C567C9EB6}" name="Orders" displayName="Orders" ref="A1:O601" totalsRowShown="0">
  <autoFilter ref="A1:O601" xr:uid="{EB1411F6-243E-4DCC-84C0-284C567C9EB6}"/>
  <tableColumns count="15">
    <tableColumn id="1" xr3:uid="{59B2EC40-43B9-44E7-9FFC-FC0B71BEA16B}" name="Order_ID"/>
    <tableColumn id="2" xr3:uid="{CDD398B4-E80C-44A9-97B4-D7D5765DAA3A}" name="Vendor"/>
    <tableColumn id="3" xr3:uid="{0E053291-7081-4AD7-AAE5-E88213FEF170}" name="Product"/>
    <tableColumn id="4" xr3:uid="{E9F9F9A4-C115-4678-B75C-F95E8711944F}" name="Distribution_Center"/>
    <tableColumn id="5" xr3:uid="{DD0DCCC7-091C-46C7-B3B8-9A3B66BFEC73}" name="Branch"/>
    <tableColumn id="6" xr3:uid="{BCAA46A2-9F01-4AEF-B960-70B49EAF25FF}" name="Order_Date" dataDxfId="74"/>
    <tableColumn id="7" xr3:uid="{49FD935B-723E-43D8-A40F-158DB29EF791}" name="Expected_Ship_Date" dataDxfId="73"/>
    <tableColumn id="8" xr3:uid="{BCE2B78B-249F-4D0D-8765-D3EBDB9A6992}" name="Actual_Ship_Date" dataDxfId="72"/>
    <tableColumn id="9" xr3:uid="{1A01C1BE-9EC0-4D3D-B1FF-3413E5656FB2}" name="Receipt_Date" dataDxfId="71"/>
    <tableColumn id="10" xr3:uid="{F34B86B4-ABD9-443A-ADE0-64D0F2087DFF}" name="Order_Status"/>
    <tableColumn id="11" xr3:uid="{84FBC8F4-C91F-4C26-BE2C-BFE6DDCA98D2}" name="Quantity"/>
    <tableColumn id="12" xr3:uid="{3F88B865-39C6-4A4D-8CD8-0A3B4267738E}" name="Unit_Cost_USD"/>
    <tableColumn id="13" xr3:uid="{A9EDCAE4-0DCD-4C98-B192-C0AF8C943ED0}" name="Order_Value_USD"/>
    <tableColumn id="14" xr3:uid="{3677737C-7DD6-4464-B17A-C755F1A74319}" name="Lead_Time_Days"/>
    <tableColumn id="15" xr3:uid="{D3A05A64-4213-4737-AA3A-454D121F8FDE}" name="Shipment_Delay" dataDxfId="70">
      <calculatedColumnFormula>Orders[[#This Row],[Actual_Ship_Date]]-Orders[[#This Row],[Expected_Ship_Date]]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E1B11D-856D-4EBC-A385-C3E72DD3617A}" name="Late_Orders" displayName="Late_Orders" ref="A1:P276" totalsRowShown="0" headerRowDxfId="57" dataDxfId="56" headerRowBorderDxfId="64">
  <autoFilter ref="A1:P276" xr:uid="{44E1B11D-856D-4EBC-A385-C3E72DD3617A}"/>
  <tableColumns count="16">
    <tableColumn id="1" xr3:uid="{5540962F-45BF-43D9-A144-E50EF32D70E2}" name="Order_ID" dataDxfId="63"/>
    <tableColumn id="2" xr3:uid="{7DAFD863-4C3F-4FC1-A137-D204E82038E2}" name="Vendor" dataDxfId="62"/>
    <tableColumn id="3" xr3:uid="{040A176E-8936-454F-B254-BE31506546F1}" name="Product" dataDxfId="61"/>
    <tableColumn id="4" xr3:uid="{5C2E6799-3DAF-49C1-AEAD-6BBCE489443E}" name="Distribution_Center" dataDxfId="60"/>
    <tableColumn id="5" xr3:uid="{23664A58-18A9-4DB4-A681-15F459176DF8}" name="Branch" dataDxfId="52"/>
    <tableColumn id="6" xr3:uid="{2F78C840-FA5B-4247-A76E-2C2B8D8DF575}" name="Order_Date" dataDxfId="51"/>
    <tableColumn id="7" xr3:uid="{C0D4D34F-FF7E-4FAB-B8E4-C16367B8B442}" name="Expected_Ship_Date" dataDxfId="50"/>
    <tableColumn id="8" xr3:uid="{1F80F402-22E6-47F9-81F3-623CF2963AA5}" name="Actual_Ship_Date" dataDxfId="49"/>
    <tableColumn id="9" xr3:uid="{2FF85899-C694-4183-8038-E6AAD82A21A2}" name="Receipt_Date" dataDxfId="47"/>
    <tableColumn id="10" xr3:uid="{8D3C9D00-E077-4531-84A3-8DA80C4E7F5E}" name="Order_Status" dataDxfId="48"/>
    <tableColumn id="11" xr3:uid="{9DFC81C7-E0A5-4C8B-AAC6-07CDC9B9EA56}" name="Quantity" dataDxfId="55"/>
    <tableColumn id="12" xr3:uid="{5DE919D8-13C1-4597-BA3A-F70DC2DDFC25}" name="Unit_Cost_USD" dataDxfId="59"/>
    <tableColumn id="13" xr3:uid="{3BBDB328-9A98-422F-84A9-1B9C5A883413}" name="Order_Value_USD" dataDxfId="58"/>
    <tableColumn id="14" xr3:uid="{6FF3EB3A-6BE8-43E4-B301-F9DA5B3E4B71}" name="Lead_Time_Days" dataDxfId="54"/>
    <tableColumn id="15" xr3:uid="{9F340A5F-48E4-41B9-BAAF-15230C22ACD0}" name="Shipment_Delay" dataDxfId="53"/>
    <tableColumn id="16" xr3:uid="{54EA6D88-D350-4ADC-92B2-0E0ED840A1F3}" name="Expedite Order" dataDxfId="0">
      <calculatedColumnFormula>IF(AND(Late_Orders[[#This Row],[Order_Status]]="Late", Late_Orders[[#This Row],[Shipment_Delay]]&gt;=5),"Yes","No")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94CA-06DC-4A7D-AB75-6BA50BCCE727}">
  <sheetPr codeName="Sheet1"/>
  <dimension ref="B2:K13"/>
  <sheetViews>
    <sheetView showGridLines="0" workbookViewId="0">
      <selection activeCell="D13" sqref="D13"/>
    </sheetView>
  </sheetViews>
  <sheetFormatPr defaultRowHeight="15" x14ac:dyDescent="0.25"/>
  <cols>
    <col min="1" max="1" width="5" customWidth="1"/>
    <col min="2" max="2" width="14.28515625" bestFit="1" customWidth="1"/>
    <col min="3" max="4" width="18.5703125" customWidth="1"/>
    <col min="5" max="5" width="3.28515625" customWidth="1"/>
    <col min="6" max="6" width="20.5703125" bestFit="1" customWidth="1"/>
    <col min="7" max="7" width="23.140625" bestFit="1" customWidth="1"/>
    <col min="8" max="8" width="24.28515625" bestFit="1" customWidth="1"/>
    <col min="9" max="9" width="3.42578125" customWidth="1"/>
    <col min="10" max="10" width="13" bestFit="1" customWidth="1"/>
    <col min="11" max="11" width="11.140625" bestFit="1" customWidth="1"/>
  </cols>
  <sheetData>
    <row r="2" spans="2:11" x14ac:dyDescent="0.25">
      <c r="B2" s="2" t="s">
        <v>652</v>
      </c>
      <c r="C2" s="6" t="s">
        <v>651</v>
      </c>
      <c r="D2" s="6" t="s">
        <v>649</v>
      </c>
      <c r="F2" s="2" t="s">
        <v>1</v>
      </c>
      <c r="G2" t="s">
        <v>653</v>
      </c>
      <c r="H2" t="s">
        <v>654</v>
      </c>
      <c r="J2" s="2" t="s">
        <v>659</v>
      </c>
      <c r="K2" t="s">
        <v>660</v>
      </c>
    </row>
    <row r="3" spans="2:11" x14ac:dyDescent="0.25">
      <c r="B3" s="3" t="s">
        <v>36</v>
      </c>
      <c r="C3" s="4">
        <v>98</v>
      </c>
      <c r="D3" s="5">
        <v>0.16333333333333333</v>
      </c>
      <c r="F3" s="3" t="s">
        <v>15</v>
      </c>
      <c r="G3" s="8">
        <v>3.1764705882352939</v>
      </c>
      <c r="H3" s="9">
        <v>17</v>
      </c>
      <c r="J3" s="3" t="s">
        <v>655</v>
      </c>
      <c r="K3" s="4">
        <v>71</v>
      </c>
    </row>
    <row r="4" spans="2:11" x14ac:dyDescent="0.25">
      <c r="B4" s="3" t="s">
        <v>32</v>
      </c>
      <c r="C4" s="4">
        <v>129</v>
      </c>
      <c r="D4" s="5">
        <v>0.215</v>
      </c>
      <c r="F4" s="3" t="s">
        <v>53</v>
      </c>
      <c r="G4" s="8">
        <v>2.736842105263158</v>
      </c>
      <c r="H4" s="9">
        <v>19</v>
      </c>
      <c r="J4" s="3" t="s">
        <v>656</v>
      </c>
      <c r="K4" s="4">
        <v>67</v>
      </c>
    </row>
    <row r="5" spans="2:11" x14ac:dyDescent="0.25">
      <c r="B5" s="3" t="s">
        <v>27</v>
      </c>
      <c r="C5" s="4">
        <v>275</v>
      </c>
      <c r="D5" s="5">
        <v>0.45833333333333331</v>
      </c>
      <c r="F5" s="3" t="s">
        <v>38</v>
      </c>
      <c r="G5" s="8">
        <v>3</v>
      </c>
      <c r="H5" s="9">
        <v>24</v>
      </c>
      <c r="J5" s="3" t="s">
        <v>657</v>
      </c>
      <c r="K5" s="4">
        <v>66</v>
      </c>
    </row>
    <row r="6" spans="2:11" x14ac:dyDescent="0.25">
      <c r="B6" s="3" t="s">
        <v>19</v>
      </c>
      <c r="C6" s="4">
        <v>98</v>
      </c>
      <c r="D6" s="5">
        <v>0.16333333333333333</v>
      </c>
      <c r="F6" s="3" t="s">
        <v>24</v>
      </c>
      <c r="G6" s="8">
        <v>2.5769230769230771</v>
      </c>
      <c r="H6" s="9">
        <v>26</v>
      </c>
      <c r="J6" s="3" t="s">
        <v>658</v>
      </c>
      <c r="K6" s="4">
        <v>71</v>
      </c>
    </row>
    <row r="7" spans="2:11" x14ac:dyDescent="0.25">
      <c r="B7" s="3" t="s">
        <v>648</v>
      </c>
      <c r="C7" s="4">
        <v>600</v>
      </c>
      <c r="D7" s="5">
        <v>1</v>
      </c>
      <c r="F7" s="3" t="s">
        <v>45</v>
      </c>
      <c r="G7" s="8">
        <v>3.5925925925925926</v>
      </c>
      <c r="H7" s="9">
        <v>27</v>
      </c>
      <c r="J7" s="3" t="s">
        <v>648</v>
      </c>
      <c r="K7" s="4">
        <v>275</v>
      </c>
    </row>
    <row r="8" spans="2:11" x14ac:dyDescent="0.25">
      <c r="F8" s="3" t="s">
        <v>29</v>
      </c>
      <c r="G8" s="8">
        <v>2.6785714285714284</v>
      </c>
      <c r="H8" s="9">
        <v>28</v>
      </c>
    </row>
    <row r="9" spans="2:11" x14ac:dyDescent="0.25">
      <c r="F9" s="3" t="s">
        <v>56</v>
      </c>
      <c r="G9" s="8">
        <v>2.8620689655172415</v>
      </c>
      <c r="H9" s="9">
        <v>29</v>
      </c>
    </row>
    <row r="10" spans="2:11" x14ac:dyDescent="0.25">
      <c r="F10" s="3" t="s">
        <v>78</v>
      </c>
      <c r="G10" s="8">
        <v>2.4666666666666668</v>
      </c>
      <c r="H10" s="9">
        <v>30</v>
      </c>
    </row>
    <row r="11" spans="2:11" x14ac:dyDescent="0.25">
      <c r="F11" s="3" t="s">
        <v>48</v>
      </c>
      <c r="G11" s="8">
        <v>3.0833333333333335</v>
      </c>
      <c r="H11" s="9">
        <v>36</v>
      </c>
    </row>
    <row r="12" spans="2:11" x14ac:dyDescent="0.25">
      <c r="F12" s="3" t="s">
        <v>42</v>
      </c>
      <c r="G12" s="8">
        <v>2.4615384615384617</v>
      </c>
      <c r="H12" s="9">
        <v>39</v>
      </c>
    </row>
    <row r="13" spans="2:11" x14ac:dyDescent="0.25">
      <c r="F13" s="3" t="s">
        <v>648</v>
      </c>
      <c r="G13" s="4">
        <v>2.84</v>
      </c>
      <c r="H13" s="4">
        <v>275</v>
      </c>
    </row>
  </sheetData>
  <conditionalFormatting pivot="1" sqref="G3:G12">
    <cfRule type="colorScale" priority="2">
      <colorScale>
        <cfvo type="min"/>
        <cfvo type="max"/>
        <color rgb="FFFCFCFF"/>
        <color rgb="FFF8696B"/>
      </colorScale>
    </cfRule>
  </conditionalFormatting>
  <conditionalFormatting pivot="1" sqref="H3:H12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3F588-816A-4334-AD20-AEE838FDFE66}">
  <dimension ref="B2:F58"/>
  <sheetViews>
    <sheetView workbookViewId="0">
      <selection activeCell="D6" sqref="D6"/>
    </sheetView>
  </sheetViews>
  <sheetFormatPr defaultRowHeight="15" x14ac:dyDescent="0.25"/>
  <cols>
    <col min="2" max="2" width="28.28515625" bestFit="1" customWidth="1"/>
    <col min="3" max="3" width="17.28515625" bestFit="1" customWidth="1"/>
    <col min="4" max="4" width="26.28515625" bestFit="1" customWidth="1"/>
    <col min="5" max="5" width="24" bestFit="1" customWidth="1"/>
    <col min="6" max="6" width="23.85546875" bestFit="1" customWidth="1"/>
  </cols>
  <sheetData>
    <row r="2" spans="2:6" x14ac:dyDescent="0.25">
      <c r="B2" s="2" t="s">
        <v>664</v>
      </c>
      <c r="C2" s="6" t="s">
        <v>650</v>
      </c>
      <c r="D2" s="6" t="s">
        <v>661</v>
      </c>
      <c r="E2" s="6" t="s">
        <v>662</v>
      </c>
      <c r="F2" s="6" t="s">
        <v>663</v>
      </c>
    </row>
    <row r="3" spans="2:6" x14ac:dyDescent="0.25">
      <c r="B3" s="3" t="s">
        <v>35</v>
      </c>
      <c r="C3" s="4">
        <v>106</v>
      </c>
      <c r="D3" s="9">
        <v>10.518867924528301</v>
      </c>
      <c r="E3" s="4">
        <v>106</v>
      </c>
      <c r="F3" s="26">
        <v>5107213.3</v>
      </c>
    </row>
    <row r="4" spans="2:6" x14ac:dyDescent="0.25">
      <c r="B4" s="25" t="s">
        <v>78</v>
      </c>
      <c r="C4" s="4">
        <v>13</v>
      </c>
      <c r="D4" s="9">
        <v>11.923076923076923</v>
      </c>
      <c r="E4" s="4">
        <v>13</v>
      </c>
      <c r="F4" s="26">
        <v>838456.34000000008</v>
      </c>
    </row>
    <row r="5" spans="2:6" x14ac:dyDescent="0.25">
      <c r="B5" s="25" t="s">
        <v>38</v>
      </c>
      <c r="C5" s="4">
        <v>12</v>
      </c>
      <c r="D5" s="9">
        <v>10.166666666666666</v>
      </c>
      <c r="E5" s="4">
        <v>12</v>
      </c>
      <c r="F5" s="26">
        <v>553235.57000000007</v>
      </c>
    </row>
    <row r="6" spans="2:6" x14ac:dyDescent="0.25">
      <c r="B6" s="25" t="s">
        <v>53</v>
      </c>
      <c r="C6" s="4">
        <v>6</v>
      </c>
      <c r="D6" s="9">
        <v>9.6666666666666661</v>
      </c>
      <c r="E6" s="4">
        <v>6</v>
      </c>
      <c r="F6" s="26">
        <v>242060.61</v>
      </c>
    </row>
    <row r="7" spans="2:6" x14ac:dyDescent="0.25">
      <c r="B7" s="25" t="s">
        <v>15</v>
      </c>
      <c r="C7" s="4">
        <v>15</v>
      </c>
      <c r="D7" s="9">
        <v>12.466666666666667</v>
      </c>
      <c r="E7" s="4">
        <v>15</v>
      </c>
      <c r="F7" s="26">
        <v>687634.21</v>
      </c>
    </row>
    <row r="8" spans="2:6" x14ac:dyDescent="0.25">
      <c r="B8" s="25" t="s">
        <v>42</v>
      </c>
      <c r="C8" s="4">
        <v>12</v>
      </c>
      <c r="D8" s="9">
        <v>12.25</v>
      </c>
      <c r="E8" s="4">
        <v>12</v>
      </c>
      <c r="F8" s="26">
        <v>472581.37</v>
      </c>
    </row>
    <row r="9" spans="2:6" x14ac:dyDescent="0.25">
      <c r="B9" s="25" t="s">
        <v>24</v>
      </c>
      <c r="C9" s="4">
        <v>11</v>
      </c>
      <c r="D9" s="9">
        <v>10</v>
      </c>
      <c r="E9" s="4">
        <v>11</v>
      </c>
      <c r="F9" s="26">
        <v>515340.01000000013</v>
      </c>
    </row>
    <row r="10" spans="2:6" x14ac:dyDescent="0.25">
      <c r="B10" s="25" t="s">
        <v>48</v>
      </c>
      <c r="C10" s="4">
        <v>12</v>
      </c>
      <c r="D10" s="9">
        <v>9.5833333333333339</v>
      </c>
      <c r="E10" s="4">
        <v>12</v>
      </c>
      <c r="F10" s="26">
        <v>570023.51</v>
      </c>
    </row>
    <row r="11" spans="2:6" x14ac:dyDescent="0.25">
      <c r="B11" s="25" t="s">
        <v>45</v>
      </c>
      <c r="C11" s="4">
        <v>11</v>
      </c>
      <c r="D11" s="9">
        <v>8.454545454545455</v>
      </c>
      <c r="E11" s="4">
        <v>11</v>
      </c>
      <c r="F11" s="26">
        <v>562881.1100000001</v>
      </c>
    </row>
    <row r="12" spans="2:6" x14ac:dyDescent="0.25">
      <c r="B12" s="25" t="s">
        <v>29</v>
      </c>
      <c r="C12" s="4">
        <v>5</v>
      </c>
      <c r="D12" s="9">
        <v>8.6</v>
      </c>
      <c r="E12" s="4">
        <v>5</v>
      </c>
      <c r="F12" s="26">
        <v>197232.02000000002</v>
      </c>
    </row>
    <row r="13" spans="2:6" x14ac:dyDescent="0.25">
      <c r="B13" s="25" t="s">
        <v>56</v>
      </c>
      <c r="C13" s="4">
        <v>9</v>
      </c>
      <c r="D13" s="9">
        <v>9.4444444444444446</v>
      </c>
      <c r="E13" s="4">
        <v>9</v>
      </c>
      <c r="F13" s="26">
        <v>467768.55000000005</v>
      </c>
    </row>
    <row r="14" spans="2:6" x14ac:dyDescent="0.25">
      <c r="B14" s="3" t="s">
        <v>59</v>
      </c>
      <c r="C14" s="4">
        <v>123</v>
      </c>
      <c r="D14" s="9">
        <v>11.024390243902438</v>
      </c>
      <c r="E14" s="4">
        <v>123</v>
      </c>
      <c r="F14" s="26">
        <v>5683595.080000001</v>
      </c>
    </row>
    <row r="15" spans="2:6" x14ac:dyDescent="0.25">
      <c r="B15" s="25" t="s">
        <v>78</v>
      </c>
      <c r="C15" s="4">
        <v>8</v>
      </c>
      <c r="D15" s="9">
        <v>12.125</v>
      </c>
      <c r="E15" s="4">
        <v>8</v>
      </c>
      <c r="F15" s="26">
        <v>263423.74</v>
      </c>
    </row>
    <row r="16" spans="2:6" x14ac:dyDescent="0.25">
      <c r="B16" s="25" t="s">
        <v>38</v>
      </c>
      <c r="C16" s="4">
        <v>9</v>
      </c>
      <c r="D16" s="9">
        <v>11.333333333333334</v>
      </c>
      <c r="E16" s="4">
        <v>9</v>
      </c>
      <c r="F16" s="26">
        <v>711902.12</v>
      </c>
    </row>
    <row r="17" spans="2:6" x14ac:dyDescent="0.25">
      <c r="B17" s="25" t="s">
        <v>53</v>
      </c>
      <c r="C17" s="4">
        <v>12</v>
      </c>
      <c r="D17" s="9">
        <v>9.5</v>
      </c>
      <c r="E17" s="4">
        <v>12</v>
      </c>
      <c r="F17" s="26">
        <v>537949.35</v>
      </c>
    </row>
    <row r="18" spans="2:6" x14ac:dyDescent="0.25">
      <c r="B18" s="25" t="s">
        <v>15</v>
      </c>
      <c r="C18" s="4">
        <v>9</v>
      </c>
      <c r="D18" s="9">
        <v>11.222222222222221</v>
      </c>
      <c r="E18" s="4">
        <v>9</v>
      </c>
      <c r="F18" s="26">
        <v>482076.73000000004</v>
      </c>
    </row>
    <row r="19" spans="2:6" x14ac:dyDescent="0.25">
      <c r="B19" s="25" t="s">
        <v>42</v>
      </c>
      <c r="C19" s="4">
        <v>16</v>
      </c>
      <c r="D19" s="9">
        <v>12.125</v>
      </c>
      <c r="E19" s="4">
        <v>16</v>
      </c>
      <c r="F19" s="26">
        <v>593878.19000000006</v>
      </c>
    </row>
    <row r="20" spans="2:6" x14ac:dyDescent="0.25">
      <c r="B20" s="25" t="s">
        <v>24</v>
      </c>
      <c r="C20" s="4">
        <v>15</v>
      </c>
      <c r="D20" s="9">
        <v>9.6</v>
      </c>
      <c r="E20" s="4">
        <v>15</v>
      </c>
      <c r="F20" s="26">
        <v>811609.46000000008</v>
      </c>
    </row>
    <row r="21" spans="2:6" x14ac:dyDescent="0.25">
      <c r="B21" s="25" t="s">
        <v>48</v>
      </c>
      <c r="C21" s="4">
        <v>16</v>
      </c>
      <c r="D21" s="9">
        <v>11.25</v>
      </c>
      <c r="E21" s="4">
        <v>16</v>
      </c>
      <c r="F21" s="26">
        <v>743795.35999999987</v>
      </c>
    </row>
    <row r="22" spans="2:6" x14ac:dyDescent="0.25">
      <c r="B22" s="25" t="s">
        <v>45</v>
      </c>
      <c r="C22" s="4">
        <v>13</v>
      </c>
      <c r="D22" s="9">
        <v>11.23076923076923</v>
      </c>
      <c r="E22" s="4">
        <v>13</v>
      </c>
      <c r="F22" s="26">
        <v>528599.59</v>
      </c>
    </row>
    <row r="23" spans="2:6" x14ac:dyDescent="0.25">
      <c r="B23" s="25" t="s">
        <v>29</v>
      </c>
      <c r="C23" s="4">
        <v>15</v>
      </c>
      <c r="D23" s="9">
        <v>10.666666666666666</v>
      </c>
      <c r="E23" s="4">
        <v>15</v>
      </c>
      <c r="F23" s="26">
        <v>525721.21</v>
      </c>
    </row>
    <row r="24" spans="2:6" x14ac:dyDescent="0.25">
      <c r="B24" s="25" t="s">
        <v>56</v>
      </c>
      <c r="C24" s="4">
        <v>10</v>
      </c>
      <c r="D24" s="9">
        <v>11.8</v>
      </c>
      <c r="E24" s="4">
        <v>10</v>
      </c>
      <c r="F24" s="26">
        <v>484639.33000000007</v>
      </c>
    </row>
    <row r="25" spans="2:6" x14ac:dyDescent="0.25">
      <c r="B25" s="3" t="s">
        <v>22</v>
      </c>
      <c r="C25" s="4">
        <v>120</v>
      </c>
      <c r="D25" s="9">
        <v>10.475</v>
      </c>
      <c r="E25" s="4">
        <v>120</v>
      </c>
      <c r="F25" s="26">
        <v>6048778.6799999997</v>
      </c>
    </row>
    <row r="26" spans="2:6" x14ac:dyDescent="0.25">
      <c r="B26" s="25" t="s">
        <v>78</v>
      </c>
      <c r="C26" s="4">
        <v>17</v>
      </c>
      <c r="D26" s="9">
        <v>10.235294117647058</v>
      </c>
      <c r="E26" s="4">
        <v>17</v>
      </c>
      <c r="F26" s="26">
        <v>771064.04999999981</v>
      </c>
    </row>
    <row r="27" spans="2:6" x14ac:dyDescent="0.25">
      <c r="B27" s="25" t="s">
        <v>38</v>
      </c>
      <c r="C27" s="4">
        <v>11</v>
      </c>
      <c r="D27" s="9">
        <v>8.545454545454545</v>
      </c>
      <c r="E27" s="4">
        <v>11</v>
      </c>
      <c r="F27" s="26">
        <v>486974.92</v>
      </c>
    </row>
    <row r="28" spans="2:6" x14ac:dyDescent="0.25">
      <c r="B28" s="25" t="s">
        <v>53</v>
      </c>
      <c r="C28" s="4">
        <v>10</v>
      </c>
      <c r="D28" s="9">
        <v>9.1</v>
      </c>
      <c r="E28" s="4">
        <v>10</v>
      </c>
      <c r="F28" s="26">
        <v>509460.54000000004</v>
      </c>
    </row>
    <row r="29" spans="2:6" x14ac:dyDescent="0.25">
      <c r="B29" s="25" t="s">
        <v>15</v>
      </c>
      <c r="C29" s="4">
        <v>9</v>
      </c>
      <c r="D29" s="9">
        <v>8.2222222222222214</v>
      </c>
      <c r="E29" s="4">
        <v>9</v>
      </c>
      <c r="F29" s="26">
        <v>416466.37</v>
      </c>
    </row>
    <row r="30" spans="2:6" x14ac:dyDescent="0.25">
      <c r="B30" s="25" t="s">
        <v>42</v>
      </c>
      <c r="C30" s="4">
        <v>13</v>
      </c>
      <c r="D30" s="9">
        <v>11.461538461538462</v>
      </c>
      <c r="E30" s="4">
        <v>13</v>
      </c>
      <c r="F30" s="26">
        <v>535187.67000000004</v>
      </c>
    </row>
    <row r="31" spans="2:6" x14ac:dyDescent="0.25">
      <c r="B31" s="25" t="s">
        <v>24</v>
      </c>
      <c r="C31" s="4">
        <v>11</v>
      </c>
      <c r="D31" s="9">
        <v>11.727272727272727</v>
      </c>
      <c r="E31" s="4">
        <v>11</v>
      </c>
      <c r="F31" s="26">
        <v>577840.89999999991</v>
      </c>
    </row>
    <row r="32" spans="2:6" x14ac:dyDescent="0.25">
      <c r="B32" s="25" t="s">
        <v>48</v>
      </c>
      <c r="C32" s="4">
        <v>16</v>
      </c>
      <c r="D32" s="9">
        <v>9.375</v>
      </c>
      <c r="E32" s="4">
        <v>16</v>
      </c>
      <c r="F32" s="26">
        <v>584320.42000000016</v>
      </c>
    </row>
    <row r="33" spans="2:6" x14ac:dyDescent="0.25">
      <c r="B33" s="25" t="s">
        <v>45</v>
      </c>
      <c r="C33" s="4">
        <v>7</v>
      </c>
      <c r="D33" s="9">
        <v>10.714285714285714</v>
      </c>
      <c r="E33" s="4">
        <v>7</v>
      </c>
      <c r="F33" s="26">
        <v>422944.22</v>
      </c>
    </row>
    <row r="34" spans="2:6" x14ac:dyDescent="0.25">
      <c r="B34" s="25" t="s">
        <v>29</v>
      </c>
      <c r="C34" s="4">
        <v>14</v>
      </c>
      <c r="D34" s="9">
        <v>12.928571428571429</v>
      </c>
      <c r="E34" s="4">
        <v>14</v>
      </c>
      <c r="F34" s="26">
        <v>833854.24</v>
      </c>
    </row>
    <row r="35" spans="2:6" x14ac:dyDescent="0.25">
      <c r="B35" s="25" t="s">
        <v>56</v>
      </c>
      <c r="C35" s="4">
        <v>12</v>
      </c>
      <c r="D35" s="9">
        <v>11.666666666666666</v>
      </c>
      <c r="E35" s="4">
        <v>12</v>
      </c>
      <c r="F35" s="26">
        <v>910665.34999999986</v>
      </c>
    </row>
    <row r="36" spans="2:6" x14ac:dyDescent="0.25">
      <c r="B36" s="3" t="s">
        <v>17</v>
      </c>
      <c r="C36" s="4">
        <v>131</v>
      </c>
      <c r="D36" s="9">
        <v>10.748091603053435</v>
      </c>
      <c r="E36" s="4">
        <v>131</v>
      </c>
      <c r="F36" s="26">
        <v>5686133.2700000014</v>
      </c>
    </row>
    <row r="37" spans="2:6" x14ac:dyDescent="0.25">
      <c r="B37" s="25" t="s">
        <v>78</v>
      </c>
      <c r="C37" s="4">
        <v>12</v>
      </c>
      <c r="D37" s="9">
        <v>11</v>
      </c>
      <c r="E37" s="4">
        <v>12</v>
      </c>
      <c r="F37" s="26">
        <v>552496.56000000006</v>
      </c>
    </row>
    <row r="38" spans="2:6" x14ac:dyDescent="0.25">
      <c r="B38" s="25" t="s">
        <v>38</v>
      </c>
      <c r="C38" s="4">
        <v>16</v>
      </c>
      <c r="D38" s="9">
        <v>11.4375</v>
      </c>
      <c r="E38" s="4">
        <v>16</v>
      </c>
      <c r="F38" s="26">
        <v>578667.92000000004</v>
      </c>
    </row>
    <row r="39" spans="2:6" x14ac:dyDescent="0.25">
      <c r="B39" s="25" t="s">
        <v>53</v>
      </c>
      <c r="C39" s="4">
        <v>11</v>
      </c>
      <c r="D39" s="9">
        <v>9.545454545454545</v>
      </c>
      <c r="E39" s="4">
        <v>11</v>
      </c>
      <c r="F39" s="26">
        <v>354230.61999999994</v>
      </c>
    </row>
    <row r="40" spans="2:6" x14ac:dyDescent="0.25">
      <c r="B40" s="25" t="s">
        <v>15</v>
      </c>
      <c r="C40" s="4">
        <v>16</v>
      </c>
      <c r="D40" s="9">
        <v>10</v>
      </c>
      <c r="E40" s="4">
        <v>16</v>
      </c>
      <c r="F40" s="26">
        <v>846564.17</v>
      </c>
    </row>
    <row r="41" spans="2:6" x14ac:dyDescent="0.25">
      <c r="B41" s="25" t="s">
        <v>42</v>
      </c>
      <c r="C41" s="4">
        <v>13</v>
      </c>
      <c r="D41" s="9">
        <v>10.76923076923077</v>
      </c>
      <c r="E41" s="4">
        <v>13</v>
      </c>
      <c r="F41" s="26">
        <v>633761.16</v>
      </c>
    </row>
    <row r="42" spans="2:6" x14ac:dyDescent="0.25">
      <c r="B42" s="25" t="s">
        <v>24</v>
      </c>
      <c r="C42" s="4">
        <v>10</v>
      </c>
      <c r="D42" s="9">
        <v>10.5</v>
      </c>
      <c r="E42" s="4">
        <v>10</v>
      </c>
      <c r="F42" s="26">
        <v>438780.51</v>
      </c>
    </row>
    <row r="43" spans="2:6" x14ac:dyDescent="0.25">
      <c r="B43" s="25" t="s">
        <v>48</v>
      </c>
      <c r="C43" s="4">
        <v>15</v>
      </c>
      <c r="D43" s="9">
        <v>10.199999999999999</v>
      </c>
      <c r="E43" s="4">
        <v>15</v>
      </c>
      <c r="F43" s="26">
        <v>395516.45</v>
      </c>
    </row>
    <row r="44" spans="2:6" x14ac:dyDescent="0.25">
      <c r="B44" s="25" t="s">
        <v>45</v>
      </c>
      <c r="C44" s="4">
        <v>12</v>
      </c>
      <c r="D44" s="9">
        <v>12.416666666666666</v>
      </c>
      <c r="E44" s="4">
        <v>12</v>
      </c>
      <c r="F44" s="26">
        <v>603464.5</v>
      </c>
    </row>
    <row r="45" spans="2:6" x14ac:dyDescent="0.25">
      <c r="B45" s="25" t="s">
        <v>29</v>
      </c>
      <c r="C45" s="4">
        <v>13</v>
      </c>
      <c r="D45" s="9">
        <v>9.6923076923076916</v>
      </c>
      <c r="E45" s="4">
        <v>13</v>
      </c>
      <c r="F45" s="26">
        <v>801119.55999999982</v>
      </c>
    </row>
    <row r="46" spans="2:6" x14ac:dyDescent="0.25">
      <c r="B46" s="25" t="s">
        <v>56</v>
      </c>
      <c r="C46" s="4">
        <v>13</v>
      </c>
      <c r="D46" s="9">
        <v>11.923076923076923</v>
      </c>
      <c r="E46" s="4">
        <v>13</v>
      </c>
      <c r="F46" s="26">
        <v>481531.82</v>
      </c>
    </row>
    <row r="47" spans="2:6" x14ac:dyDescent="0.25">
      <c r="B47" s="3" t="s">
        <v>39</v>
      </c>
      <c r="C47" s="4">
        <v>120</v>
      </c>
      <c r="D47" s="9">
        <v>11.291666666666666</v>
      </c>
      <c r="E47" s="4">
        <v>120</v>
      </c>
      <c r="F47" s="26">
        <v>6258745.6400000006</v>
      </c>
    </row>
    <row r="48" spans="2:6" x14ac:dyDescent="0.25">
      <c r="B48" s="25" t="s">
        <v>78</v>
      </c>
      <c r="C48" s="4">
        <v>13</v>
      </c>
      <c r="D48" s="9">
        <v>11.692307692307692</v>
      </c>
      <c r="E48" s="4">
        <v>13</v>
      </c>
      <c r="F48" s="26">
        <v>678674.55</v>
      </c>
    </row>
    <row r="49" spans="2:6" x14ac:dyDescent="0.25">
      <c r="B49" s="25" t="s">
        <v>38</v>
      </c>
      <c r="C49" s="4">
        <v>12</v>
      </c>
      <c r="D49" s="9">
        <v>12.083333333333334</v>
      </c>
      <c r="E49" s="4">
        <v>12</v>
      </c>
      <c r="F49" s="26">
        <v>980995.29999999993</v>
      </c>
    </row>
    <row r="50" spans="2:6" x14ac:dyDescent="0.25">
      <c r="B50" s="25" t="s">
        <v>53</v>
      </c>
      <c r="C50" s="4">
        <v>13</v>
      </c>
      <c r="D50" s="9">
        <v>12</v>
      </c>
      <c r="E50" s="4">
        <v>13</v>
      </c>
      <c r="F50" s="26">
        <v>434006.85</v>
      </c>
    </row>
    <row r="51" spans="2:6" x14ac:dyDescent="0.25">
      <c r="B51" s="25" t="s">
        <v>15</v>
      </c>
      <c r="C51" s="4">
        <v>14</v>
      </c>
      <c r="D51" s="9">
        <v>11.5</v>
      </c>
      <c r="E51" s="4">
        <v>14</v>
      </c>
      <c r="F51" s="26">
        <v>530132.19999999995</v>
      </c>
    </row>
    <row r="52" spans="2:6" x14ac:dyDescent="0.25">
      <c r="B52" s="25" t="s">
        <v>42</v>
      </c>
      <c r="C52" s="4">
        <v>9</v>
      </c>
      <c r="D52" s="9">
        <v>8.6666666666666661</v>
      </c>
      <c r="E52" s="4">
        <v>9</v>
      </c>
      <c r="F52" s="26">
        <v>651570.66999999993</v>
      </c>
    </row>
    <row r="53" spans="2:6" x14ac:dyDescent="0.25">
      <c r="B53" s="25" t="s">
        <v>24</v>
      </c>
      <c r="C53" s="4">
        <v>15</v>
      </c>
      <c r="D53" s="9">
        <v>11.266666666666667</v>
      </c>
      <c r="E53" s="4">
        <v>15</v>
      </c>
      <c r="F53" s="26">
        <v>729265.34</v>
      </c>
    </row>
    <row r="54" spans="2:6" x14ac:dyDescent="0.25">
      <c r="B54" s="25" t="s">
        <v>48</v>
      </c>
      <c r="C54" s="4">
        <v>11</v>
      </c>
      <c r="D54" s="9">
        <v>11.090909090909092</v>
      </c>
      <c r="E54" s="4">
        <v>11</v>
      </c>
      <c r="F54" s="26">
        <v>701790.2699999999</v>
      </c>
    </row>
    <row r="55" spans="2:6" x14ac:dyDescent="0.25">
      <c r="B55" s="25" t="s">
        <v>45</v>
      </c>
      <c r="C55" s="4">
        <v>12</v>
      </c>
      <c r="D55" s="9">
        <v>9.9166666666666661</v>
      </c>
      <c r="E55" s="4">
        <v>12</v>
      </c>
      <c r="F55" s="26">
        <v>566046.34</v>
      </c>
    </row>
    <row r="56" spans="2:6" x14ac:dyDescent="0.25">
      <c r="B56" s="25" t="s">
        <v>29</v>
      </c>
      <c r="C56" s="4">
        <v>12</v>
      </c>
      <c r="D56" s="9">
        <v>13</v>
      </c>
      <c r="E56" s="4">
        <v>12</v>
      </c>
      <c r="F56" s="26">
        <v>583901.39</v>
      </c>
    </row>
    <row r="57" spans="2:6" x14ac:dyDescent="0.25">
      <c r="B57" s="25" t="s">
        <v>56</v>
      </c>
      <c r="C57" s="4">
        <v>9</v>
      </c>
      <c r="D57" s="9">
        <v>10.777777777777779</v>
      </c>
      <c r="E57" s="4">
        <v>9</v>
      </c>
      <c r="F57" s="26">
        <v>402362.73</v>
      </c>
    </row>
    <row r="58" spans="2:6" x14ac:dyDescent="0.25">
      <c r="B58" s="3" t="s">
        <v>648</v>
      </c>
      <c r="C58" s="4">
        <v>600</v>
      </c>
      <c r="D58" s="9">
        <v>10.818333333333333</v>
      </c>
      <c r="E58" s="4">
        <v>600</v>
      </c>
      <c r="F58" s="26">
        <v>28784465.969999999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601"/>
  <sheetViews>
    <sheetView workbookViewId="0">
      <selection activeCell="P1" sqref="P1"/>
    </sheetView>
  </sheetViews>
  <sheetFormatPr defaultRowHeight="15" x14ac:dyDescent="0.25"/>
  <cols>
    <col min="1" max="1" width="11.140625" customWidth="1"/>
    <col min="2" max="2" width="20.5703125" bestFit="1" customWidth="1"/>
    <col min="3" max="3" width="23.140625" bestFit="1" customWidth="1"/>
    <col min="4" max="4" width="20.7109375" customWidth="1"/>
    <col min="5" max="5" width="9.140625" customWidth="1"/>
    <col min="6" max="6" width="13.42578125" customWidth="1"/>
    <col min="7" max="7" width="21.28515625" customWidth="1"/>
    <col min="8" max="8" width="18.7109375" customWidth="1"/>
    <col min="9" max="9" width="15" customWidth="1"/>
    <col min="10" max="10" width="14.7109375" customWidth="1"/>
    <col min="11" max="11" width="10.85546875" customWidth="1"/>
    <col min="12" max="12" width="16.5703125" customWidth="1"/>
    <col min="13" max="13" width="19.140625" customWidth="1"/>
    <col min="14" max="14" width="17.85546875" customWidth="1"/>
    <col min="15" max="15" width="18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647</v>
      </c>
    </row>
    <row r="2" spans="1:1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  <c r="F2" s="1">
        <v>45739</v>
      </c>
      <c r="G2" s="1">
        <v>45743</v>
      </c>
      <c r="H2" s="1">
        <v>45743</v>
      </c>
      <c r="I2" s="1">
        <v>45746</v>
      </c>
      <c r="J2" t="s">
        <v>19</v>
      </c>
      <c r="K2">
        <v>193</v>
      </c>
      <c r="L2">
        <v>100.58</v>
      </c>
      <c r="M2">
        <v>19411.939999999999</v>
      </c>
      <c r="N2">
        <v>4</v>
      </c>
      <c r="O2">
        <f>Orders[[#This Row],[Actual_Ship_Date]]-Orders[[#This Row],[Expected_Ship_Date]]</f>
        <v>0</v>
      </c>
    </row>
    <row r="3" spans="1:15" x14ac:dyDescent="0.25">
      <c r="A3" t="s">
        <v>20</v>
      </c>
      <c r="B3" t="s">
        <v>15</v>
      </c>
      <c r="C3" t="s">
        <v>21</v>
      </c>
      <c r="D3" t="s">
        <v>22</v>
      </c>
      <c r="E3" t="s">
        <v>18</v>
      </c>
      <c r="F3" s="1">
        <v>45662</v>
      </c>
      <c r="G3" s="1">
        <v>45665</v>
      </c>
      <c r="H3" s="1">
        <v>45665</v>
      </c>
      <c r="I3" s="1">
        <v>45667</v>
      </c>
      <c r="J3" t="s">
        <v>19</v>
      </c>
      <c r="K3">
        <v>11</v>
      </c>
      <c r="L3">
        <v>483.64</v>
      </c>
      <c r="M3">
        <v>5320.04</v>
      </c>
      <c r="N3">
        <v>3</v>
      </c>
      <c r="O3">
        <f>Orders[[#This Row],[Actual_Ship_Date]]-Orders[[#This Row],[Expected_Ship_Date]]</f>
        <v>0</v>
      </c>
    </row>
    <row r="4" spans="1:15" x14ac:dyDescent="0.25">
      <c r="A4" t="s">
        <v>23</v>
      </c>
      <c r="B4" t="s">
        <v>24</v>
      </c>
      <c r="C4" t="s">
        <v>25</v>
      </c>
      <c r="D4" t="s">
        <v>22</v>
      </c>
      <c r="E4" t="s">
        <v>26</v>
      </c>
      <c r="F4" s="1">
        <v>45733</v>
      </c>
      <c r="G4" s="1">
        <v>45740</v>
      </c>
      <c r="H4" s="1">
        <v>45745</v>
      </c>
      <c r="I4" s="1">
        <v>45746</v>
      </c>
      <c r="J4" t="s">
        <v>27</v>
      </c>
      <c r="K4">
        <v>45</v>
      </c>
      <c r="L4">
        <v>597.95000000000005</v>
      </c>
      <c r="M4">
        <v>26907.75</v>
      </c>
      <c r="N4">
        <v>12</v>
      </c>
      <c r="O4">
        <f>Orders[[#This Row],[Actual_Ship_Date]]-Orders[[#This Row],[Expected_Ship_Date]]</f>
        <v>5</v>
      </c>
    </row>
    <row r="5" spans="1:15" x14ac:dyDescent="0.25">
      <c r="A5" t="s">
        <v>28</v>
      </c>
      <c r="B5" t="s">
        <v>29</v>
      </c>
      <c r="C5" t="s">
        <v>30</v>
      </c>
      <c r="D5" t="s">
        <v>17</v>
      </c>
      <c r="E5" t="s">
        <v>31</v>
      </c>
      <c r="F5" s="1">
        <v>45755</v>
      </c>
      <c r="G5" s="1">
        <v>45763</v>
      </c>
      <c r="H5" s="1">
        <v>45763</v>
      </c>
      <c r="I5" s="1">
        <v>45764</v>
      </c>
      <c r="J5" t="s">
        <v>32</v>
      </c>
      <c r="K5">
        <v>93</v>
      </c>
      <c r="L5">
        <v>519.11</v>
      </c>
      <c r="M5">
        <v>48277.23</v>
      </c>
      <c r="N5">
        <v>8</v>
      </c>
      <c r="O5">
        <f>Orders[[#This Row],[Actual_Ship_Date]]-Orders[[#This Row],[Expected_Ship_Date]]</f>
        <v>0</v>
      </c>
    </row>
    <row r="6" spans="1:15" x14ac:dyDescent="0.25">
      <c r="A6" t="s">
        <v>33</v>
      </c>
      <c r="B6" t="s">
        <v>24</v>
      </c>
      <c r="C6" t="s">
        <v>34</v>
      </c>
      <c r="D6" t="s">
        <v>35</v>
      </c>
      <c r="E6" t="s">
        <v>31</v>
      </c>
      <c r="F6" s="1">
        <v>45776</v>
      </c>
      <c r="G6" s="1">
        <v>45785</v>
      </c>
      <c r="H6" s="1">
        <v>45785</v>
      </c>
      <c r="I6" s="1">
        <v>45790</v>
      </c>
      <c r="J6" t="s">
        <v>36</v>
      </c>
      <c r="K6">
        <v>163</v>
      </c>
      <c r="L6">
        <v>754.35</v>
      </c>
      <c r="M6">
        <v>122959.05</v>
      </c>
      <c r="N6">
        <v>9</v>
      </c>
      <c r="O6">
        <f>Orders[[#This Row],[Actual_Ship_Date]]-Orders[[#This Row],[Expected_Ship_Date]]</f>
        <v>0</v>
      </c>
    </row>
    <row r="7" spans="1:15" x14ac:dyDescent="0.25">
      <c r="A7" t="s">
        <v>37</v>
      </c>
      <c r="B7" t="s">
        <v>38</v>
      </c>
      <c r="C7" t="s">
        <v>25</v>
      </c>
      <c r="D7" t="s">
        <v>39</v>
      </c>
      <c r="E7" t="s">
        <v>40</v>
      </c>
      <c r="F7" s="1">
        <v>45742</v>
      </c>
      <c r="G7" s="1">
        <v>45748</v>
      </c>
      <c r="H7" s="1">
        <v>45753</v>
      </c>
      <c r="I7" s="1">
        <v>45756</v>
      </c>
      <c r="J7" t="s">
        <v>27</v>
      </c>
      <c r="K7">
        <v>64</v>
      </c>
      <c r="L7">
        <v>738.51</v>
      </c>
      <c r="M7">
        <v>47264.639999999999</v>
      </c>
      <c r="N7">
        <v>11</v>
      </c>
      <c r="O7">
        <f>Orders[[#This Row],[Actual_Ship_Date]]-Orders[[#This Row],[Expected_Ship_Date]]</f>
        <v>5</v>
      </c>
    </row>
    <row r="8" spans="1:15" x14ac:dyDescent="0.25">
      <c r="A8" t="s">
        <v>41</v>
      </c>
      <c r="B8" t="s">
        <v>42</v>
      </c>
      <c r="C8" t="s">
        <v>43</v>
      </c>
      <c r="D8" t="s">
        <v>17</v>
      </c>
      <c r="E8" t="s">
        <v>40</v>
      </c>
      <c r="F8" s="1">
        <v>45764</v>
      </c>
      <c r="G8" s="1">
        <v>45772</v>
      </c>
      <c r="H8" s="1">
        <v>45772</v>
      </c>
      <c r="I8" s="1">
        <v>45775</v>
      </c>
      <c r="J8" t="s">
        <v>36</v>
      </c>
      <c r="K8">
        <v>73</v>
      </c>
      <c r="L8">
        <v>601.02</v>
      </c>
      <c r="M8">
        <v>43874.46</v>
      </c>
      <c r="N8">
        <v>8</v>
      </c>
      <c r="O8">
        <f>Orders[[#This Row],[Actual_Ship_Date]]-Orders[[#This Row],[Expected_Ship_Date]]</f>
        <v>0</v>
      </c>
    </row>
    <row r="9" spans="1:15" x14ac:dyDescent="0.25">
      <c r="A9" t="s">
        <v>44</v>
      </c>
      <c r="B9" t="s">
        <v>45</v>
      </c>
      <c r="C9" t="s">
        <v>46</v>
      </c>
      <c r="D9" t="s">
        <v>35</v>
      </c>
      <c r="E9" t="s">
        <v>26</v>
      </c>
      <c r="F9" s="1">
        <v>45689</v>
      </c>
      <c r="G9" s="1">
        <v>45694</v>
      </c>
      <c r="H9" s="1">
        <v>45695</v>
      </c>
      <c r="I9" s="1">
        <v>45699</v>
      </c>
      <c r="J9" t="s">
        <v>27</v>
      </c>
      <c r="K9">
        <v>168</v>
      </c>
      <c r="L9">
        <v>589.62</v>
      </c>
      <c r="M9">
        <v>99056.16</v>
      </c>
      <c r="N9">
        <v>6</v>
      </c>
      <c r="O9">
        <f>Orders[[#This Row],[Actual_Ship_Date]]-Orders[[#This Row],[Expected_Ship_Date]]</f>
        <v>1</v>
      </c>
    </row>
    <row r="10" spans="1:15" x14ac:dyDescent="0.25">
      <c r="A10" t="s">
        <v>47</v>
      </c>
      <c r="B10" t="s">
        <v>48</v>
      </c>
      <c r="C10" t="s">
        <v>46</v>
      </c>
      <c r="D10" t="s">
        <v>22</v>
      </c>
      <c r="E10" t="s">
        <v>40</v>
      </c>
      <c r="F10" s="1">
        <v>45763</v>
      </c>
      <c r="G10" s="1">
        <v>45766</v>
      </c>
      <c r="H10" s="1">
        <v>45771</v>
      </c>
      <c r="I10" s="1">
        <v>45774</v>
      </c>
      <c r="J10" t="s">
        <v>27</v>
      </c>
      <c r="K10">
        <v>21</v>
      </c>
      <c r="L10">
        <v>191.17</v>
      </c>
      <c r="M10">
        <v>4014.57</v>
      </c>
      <c r="N10">
        <v>8</v>
      </c>
      <c r="O10">
        <f>Orders[[#This Row],[Actual_Ship_Date]]-Orders[[#This Row],[Expected_Ship_Date]]</f>
        <v>5</v>
      </c>
    </row>
    <row r="11" spans="1:15" x14ac:dyDescent="0.25">
      <c r="A11" t="s">
        <v>49</v>
      </c>
      <c r="B11" t="s">
        <v>15</v>
      </c>
      <c r="C11" t="s">
        <v>25</v>
      </c>
      <c r="D11" t="s">
        <v>17</v>
      </c>
      <c r="E11" t="s">
        <v>18</v>
      </c>
      <c r="F11" s="1">
        <v>45721</v>
      </c>
      <c r="G11" s="1">
        <v>45730</v>
      </c>
      <c r="H11" s="1">
        <v>45733</v>
      </c>
      <c r="I11" s="1">
        <v>45737</v>
      </c>
      <c r="J11" t="s">
        <v>32</v>
      </c>
      <c r="K11">
        <v>40</v>
      </c>
      <c r="L11">
        <v>220.93</v>
      </c>
      <c r="M11">
        <v>8837.2000000000007</v>
      </c>
      <c r="N11">
        <v>12</v>
      </c>
      <c r="O11">
        <f>Orders[[#This Row],[Actual_Ship_Date]]-Orders[[#This Row],[Expected_Ship_Date]]</f>
        <v>3</v>
      </c>
    </row>
    <row r="12" spans="1:15" x14ac:dyDescent="0.25">
      <c r="A12" t="s">
        <v>50</v>
      </c>
      <c r="B12" t="s">
        <v>42</v>
      </c>
      <c r="C12" t="s">
        <v>51</v>
      </c>
      <c r="D12" t="s">
        <v>35</v>
      </c>
      <c r="E12" t="s">
        <v>26</v>
      </c>
      <c r="F12" s="1">
        <v>45772</v>
      </c>
      <c r="G12" s="1">
        <v>45784</v>
      </c>
      <c r="H12" s="1">
        <v>45785</v>
      </c>
      <c r="I12" s="1">
        <v>45788</v>
      </c>
      <c r="J12" t="s">
        <v>27</v>
      </c>
      <c r="K12">
        <v>40</v>
      </c>
      <c r="L12">
        <v>440.45</v>
      </c>
      <c r="M12">
        <v>17618</v>
      </c>
      <c r="N12">
        <v>13</v>
      </c>
      <c r="O12">
        <f>Orders[[#This Row],[Actual_Ship_Date]]-Orders[[#This Row],[Expected_Ship_Date]]</f>
        <v>1</v>
      </c>
    </row>
    <row r="13" spans="1:15" x14ac:dyDescent="0.25">
      <c r="A13" t="s">
        <v>52</v>
      </c>
      <c r="B13" t="s">
        <v>53</v>
      </c>
      <c r="C13" t="s">
        <v>25</v>
      </c>
      <c r="D13" t="s">
        <v>17</v>
      </c>
      <c r="E13" t="s">
        <v>31</v>
      </c>
      <c r="F13" s="1">
        <v>45738</v>
      </c>
      <c r="G13" s="1">
        <v>45743</v>
      </c>
      <c r="H13" s="1">
        <v>45748</v>
      </c>
      <c r="I13" s="1">
        <v>45752</v>
      </c>
      <c r="J13" t="s">
        <v>27</v>
      </c>
      <c r="K13">
        <v>103</v>
      </c>
      <c r="L13">
        <v>333.65</v>
      </c>
      <c r="M13">
        <v>34365.949999999997</v>
      </c>
      <c r="N13">
        <v>10</v>
      </c>
      <c r="O13">
        <f>Orders[[#This Row],[Actual_Ship_Date]]-Orders[[#This Row],[Expected_Ship_Date]]</f>
        <v>5</v>
      </c>
    </row>
    <row r="14" spans="1:15" x14ac:dyDescent="0.25">
      <c r="A14" t="s">
        <v>54</v>
      </c>
      <c r="B14" t="s">
        <v>38</v>
      </c>
      <c r="C14" t="s">
        <v>43</v>
      </c>
      <c r="D14" t="s">
        <v>39</v>
      </c>
      <c r="E14" t="s">
        <v>31</v>
      </c>
      <c r="F14" s="1">
        <v>45745</v>
      </c>
      <c r="G14" s="1">
        <v>45759</v>
      </c>
      <c r="H14" s="1">
        <v>45759</v>
      </c>
      <c r="I14" s="1">
        <v>45764</v>
      </c>
      <c r="J14" t="s">
        <v>36</v>
      </c>
      <c r="K14">
        <v>92</v>
      </c>
      <c r="L14">
        <v>108.15</v>
      </c>
      <c r="M14">
        <v>9949.7999999999993</v>
      </c>
      <c r="N14">
        <v>14</v>
      </c>
      <c r="O14">
        <f>Orders[[#This Row],[Actual_Ship_Date]]-Orders[[#This Row],[Expected_Ship_Date]]</f>
        <v>0</v>
      </c>
    </row>
    <row r="15" spans="1:15" x14ac:dyDescent="0.25">
      <c r="A15" t="s">
        <v>55</v>
      </c>
      <c r="B15" t="s">
        <v>56</v>
      </c>
      <c r="C15" t="s">
        <v>34</v>
      </c>
      <c r="D15" t="s">
        <v>22</v>
      </c>
      <c r="E15" t="s">
        <v>57</v>
      </c>
      <c r="F15" s="1">
        <v>45750</v>
      </c>
      <c r="G15" s="1">
        <v>45764</v>
      </c>
      <c r="H15" s="1">
        <v>45764</v>
      </c>
      <c r="I15" s="1">
        <v>45769</v>
      </c>
      <c r="J15" t="s">
        <v>19</v>
      </c>
      <c r="K15">
        <v>32</v>
      </c>
      <c r="L15">
        <v>741.88</v>
      </c>
      <c r="M15">
        <v>23740.16</v>
      </c>
      <c r="N15">
        <v>14</v>
      </c>
      <c r="O15">
        <f>Orders[[#This Row],[Actual_Ship_Date]]-Orders[[#This Row],[Expected_Ship_Date]]</f>
        <v>0</v>
      </c>
    </row>
    <row r="16" spans="1:15" x14ac:dyDescent="0.25">
      <c r="A16" t="s">
        <v>58</v>
      </c>
      <c r="B16" t="s">
        <v>29</v>
      </c>
      <c r="C16" t="s">
        <v>16</v>
      </c>
      <c r="D16" t="s">
        <v>59</v>
      </c>
      <c r="E16" t="s">
        <v>57</v>
      </c>
      <c r="F16" s="1">
        <v>45755</v>
      </c>
      <c r="G16" s="1">
        <v>45760</v>
      </c>
      <c r="H16" s="1">
        <v>45762</v>
      </c>
      <c r="I16" s="1">
        <v>45767</v>
      </c>
      <c r="J16" t="s">
        <v>27</v>
      </c>
      <c r="K16">
        <v>158</v>
      </c>
      <c r="L16">
        <v>285.67</v>
      </c>
      <c r="M16">
        <v>45135.86</v>
      </c>
      <c r="N16">
        <v>7</v>
      </c>
      <c r="O16">
        <f>Orders[[#This Row],[Actual_Ship_Date]]-Orders[[#This Row],[Expected_Ship_Date]]</f>
        <v>2</v>
      </c>
    </row>
    <row r="17" spans="1:15" x14ac:dyDescent="0.25">
      <c r="A17" t="s">
        <v>60</v>
      </c>
      <c r="B17" t="s">
        <v>15</v>
      </c>
      <c r="C17" t="s">
        <v>43</v>
      </c>
      <c r="D17" t="s">
        <v>22</v>
      </c>
      <c r="E17" t="s">
        <v>40</v>
      </c>
      <c r="F17" s="1">
        <v>45688</v>
      </c>
      <c r="G17" s="1">
        <v>45691</v>
      </c>
      <c r="H17" s="1">
        <v>45691</v>
      </c>
      <c r="I17" s="1">
        <v>45696</v>
      </c>
      <c r="J17" t="s">
        <v>32</v>
      </c>
      <c r="K17">
        <v>129</v>
      </c>
      <c r="L17">
        <v>696.38</v>
      </c>
      <c r="M17">
        <v>89833.02</v>
      </c>
      <c r="N17">
        <v>3</v>
      </c>
      <c r="O17">
        <f>Orders[[#This Row],[Actual_Ship_Date]]-Orders[[#This Row],[Expected_Ship_Date]]</f>
        <v>0</v>
      </c>
    </row>
    <row r="18" spans="1:15" x14ac:dyDescent="0.25">
      <c r="A18" t="s">
        <v>61</v>
      </c>
      <c r="B18" t="s">
        <v>45</v>
      </c>
      <c r="C18" t="s">
        <v>25</v>
      </c>
      <c r="D18" t="s">
        <v>39</v>
      </c>
      <c r="E18" t="s">
        <v>40</v>
      </c>
      <c r="F18" s="1">
        <v>45718</v>
      </c>
      <c r="G18" s="1">
        <v>45729</v>
      </c>
      <c r="H18" s="1">
        <v>45729</v>
      </c>
      <c r="I18" s="1">
        <v>45732</v>
      </c>
      <c r="J18" t="s">
        <v>36</v>
      </c>
      <c r="K18">
        <v>143</v>
      </c>
      <c r="L18">
        <v>645.65</v>
      </c>
      <c r="M18">
        <v>92327.95</v>
      </c>
      <c r="N18">
        <v>11</v>
      </c>
      <c r="O18">
        <f>Orders[[#This Row],[Actual_Ship_Date]]-Orders[[#This Row],[Expected_Ship_Date]]</f>
        <v>0</v>
      </c>
    </row>
    <row r="19" spans="1:15" x14ac:dyDescent="0.25">
      <c r="A19" t="s">
        <v>62</v>
      </c>
      <c r="B19" t="s">
        <v>24</v>
      </c>
      <c r="C19" t="s">
        <v>51</v>
      </c>
      <c r="D19" t="s">
        <v>17</v>
      </c>
      <c r="E19" t="s">
        <v>63</v>
      </c>
      <c r="F19" s="1">
        <v>45741</v>
      </c>
      <c r="G19" s="1">
        <v>45749</v>
      </c>
      <c r="H19" s="1">
        <v>45750</v>
      </c>
      <c r="I19" s="1">
        <v>45755</v>
      </c>
      <c r="J19" t="s">
        <v>27</v>
      </c>
      <c r="K19">
        <v>68</v>
      </c>
      <c r="L19">
        <v>202.62</v>
      </c>
      <c r="M19">
        <v>13778.16</v>
      </c>
      <c r="N19">
        <v>9</v>
      </c>
      <c r="O19">
        <f>Orders[[#This Row],[Actual_Ship_Date]]-Orders[[#This Row],[Expected_Ship_Date]]</f>
        <v>1</v>
      </c>
    </row>
    <row r="20" spans="1:15" x14ac:dyDescent="0.25">
      <c r="A20" t="s">
        <v>64</v>
      </c>
      <c r="B20" t="s">
        <v>29</v>
      </c>
      <c r="C20" t="s">
        <v>46</v>
      </c>
      <c r="D20" t="s">
        <v>35</v>
      </c>
      <c r="E20" t="s">
        <v>63</v>
      </c>
      <c r="F20" s="1">
        <v>45687</v>
      </c>
      <c r="G20" s="1">
        <v>45699</v>
      </c>
      <c r="H20" s="1">
        <v>45699</v>
      </c>
      <c r="I20" s="1">
        <v>45700</v>
      </c>
      <c r="J20" t="s">
        <v>19</v>
      </c>
      <c r="K20">
        <v>20</v>
      </c>
      <c r="L20">
        <v>206.17</v>
      </c>
      <c r="M20">
        <v>4123.3999999999996</v>
      </c>
      <c r="N20">
        <v>12</v>
      </c>
      <c r="O20">
        <f>Orders[[#This Row],[Actual_Ship_Date]]-Orders[[#This Row],[Expected_Ship_Date]]</f>
        <v>0</v>
      </c>
    </row>
    <row r="21" spans="1:15" x14ac:dyDescent="0.25">
      <c r="A21" t="s">
        <v>65</v>
      </c>
      <c r="B21" t="s">
        <v>48</v>
      </c>
      <c r="C21" t="s">
        <v>30</v>
      </c>
      <c r="D21" t="s">
        <v>22</v>
      </c>
      <c r="E21" t="s">
        <v>18</v>
      </c>
      <c r="F21" s="1">
        <v>45688</v>
      </c>
      <c r="G21" s="1">
        <v>45695</v>
      </c>
      <c r="H21" s="1">
        <v>45698</v>
      </c>
      <c r="I21" s="1">
        <v>45702</v>
      </c>
      <c r="J21" t="s">
        <v>27</v>
      </c>
      <c r="K21">
        <v>38</v>
      </c>
      <c r="L21">
        <v>619</v>
      </c>
      <c r="M21">
        <v>23522</v>
      </c>
      <c r="N21">
        <v>10</v>
      </c>
      <c r="O21">
        <f>Orders[[#This Row],[Actual_Ship_Date]]-Orders[[#This Row],[Expected_Ship_Date]]</f>
        <v>3</v>
      </c>
    </row>
    <row r="22" spans="1:15" x14ac:dyDescent="0.25">
      <c r="A22" t="s">
        <v>66</v>
      </c>
      <c r="B22" t="s">
        <v>53</v>
      </c>
      <c r="C22" t="s">
        <v>51</v>
      </c>
      <c r="D22" t="s">
        <v>35</v>
      </c>
      <c r="E22" t="s">
        <v>31</v>
      </c>
      <c r="F22" s="1">
        <v>45761</v>
      </c>
      <c r="G22" s="1">
        <v>45770</v>
      </c>
      <c r="H22" s="1">
        <v>45770</v>
      </c>
      <c r="I22" s="1">
        <v>45771</v>
      </c>
      <c r="J22" t="s">
        <v>19</v>
      </c>
      <c r="K22">
        <v>95</v>
      </c>
      <c r="L22">
        <v>368.69</v>
      </c>
      <c r="M22">
        <v>35025.550000000003</v>
      </c>
      <c r="N22">
        <v>9</v>
      </c>
      <c r="O22">
        <f>Orders[[#This Row],[Actual_Ship_Date]]-Orders[[#This Row],[Expected_Ship_Date]]</f>
        <v>0</v>
      </c>
    </row>
    <row r="23" spans="1:15" x14ac:dyDescent="0.25">
      <c r="A23" t="s">
        <v>67</v>
      </c>
      <c r="B23" t="s">
        <v>38</v>
      </c>
      <c r="C23" t="s">
        <v>43</v>
      </c>
      <c r="D23" t="s">
        <v>59</v>
      </c>
      <c r="E23" t="s">
        <v>18</v>
      </c>
      <c r="F23" s="1">
        <v>45709</v>
      </c>
      <c r="G23" s="1">
        <v>45723</v>
      </c>
      <c r="H23" s="1">
        <v>45723</v>
      </c>
      <c r="I23" s="1">
        <v>45724</v>
      </c>
      <c r="J23" t="s">
        <v>32</v>
      </c>
      <c r="K23">
        <v>142</v>
      </c>
      <c r="L23">
        <v>389.59</v>
      </c>
      <c r="M23">
        <v>55321.78</v>
      </c>
      <c r="N23">
        <v>14</v>
      </c>
      <c r="O23">
        <f>Orders[[#This Row],[Actual_Ship_Date]]-Orders[[#This Row],[Expected_Ship_Date]]</f>
        <v>0</v>
      </c>
    </row>
    <row r="24" spans="1:15" x14ac:dyDescent="0.25">
      <c r="A24" t="s">
        <v>68</v>
      </c>
      <c r="B24" t="s">
        <v>29</v>
      </c>
      <c r="C24" t="s">
        <v>16</v>
      </c>
      <c r="D24" t="s">
        <v>22</v>
      </c>
      <c r="E24" t="s">
        <v>26</v>
      </c>
      <c r="F24" s="1">
        <v>45689</v>
      </c>
      <c r="G24" s="1">
        <v>45693</v>
      </c>
      <c r="H24" s="1">
        <v>45694</v>
      </c>
      <c r="I24" s="1">
        <v>45699</v>
      </c>
      <c r="J24" t="s">
        <v>32</v>
      </c>
      <c r="K24">
        <v>171</v>
      </c>
      <c r="L24">
        <v>849.4</v>
      </c>
      <c r="M24">
        <v>145247.4</v>
      </c>
      <c r="N24">
        <v>5</v>
      </c>
      <c r="O24">
        <f>Orders[[#This Row],[Actual_Ship_Date]]-Orders[[#This Row],[Expected_Ship_Date]]</f>
        <v>1</v>
      </c>
    </row>
    <row r="25" spans="1:15" x14ac:dyDescent="0.25">
      <c r="A25" t="s">
        <v>69</v>
      </c>
      <c r="B25" t="s">
        <v>29</v>
      </c>
      <c r="C25" t="s">
        <v>21</v>
      </c>
      <c r="D25" t="s">
        <v>59</v>
      </c>
      <c r="E25" t="s">
        <v>18</v>
      </c>
      <c r="F25" s="1">
        <v>45710</v>
      </c>
      <c r="G25" s="1">
        <v>45720</v>
      </c>
      <c r="H25" s="1">
        <v>45721</v>
      </c>
      <c r="I25" s="1">
        <v>45723</v>
      </c>
      <c r="J25" t="s">
        <v>27</v>
      </c>
      <c r="K25">
        <v>20</v>
      </c>
      <c r="L25">
        <v>152.47</v>
      </c>
      <c r="M25">
        <v>3049.4</v>
      </c>
      <c r="N25">
        <v>11</v>
      </c>
      <c r="O25">
        <f>Orders[[#This Row],[Actual_Ship_Date]]-Orders[[#This Row],[Expected_Ship_Date]]</f>
        <v>1</v>
      </c>
    </row>
    <row r="26" spans="1:15" x14ac:dyDescent="0.25">
      <c r="A26" t="s">
        <v>70</v>
      </c>
      <c r="B26" t="s">
        <v>56</v>
      </c>
      <c r="C26" t="s">
        <v>34</v>
      </c>
      <c r="D26" t="s">
        <v>35</v>
      </c>
      <c r="E26" t="s">
        <v>63</v>
      </c>
      <c r="F26" s="1">
        <v>45694</v>
      </c>
      <c r="G26" s="1">
        <v>45703</v>
      </c>
      <c r="H26" s="1">
        <v>45706</v>
      </c>
      <c r="I26" s="1">
        <v>45711</v>
      </c>
      <c r="J26" t="s">
        <v>27</v>
      </c>
      <c r="K26">
        <v>129</v>
      </c>
      <c r="L26">
        <v>144.26</v>
      </c>
      <c r="M26">
        <v>18609.54</v>
      </c>
      <c r="N26">
        <v>12</v>
      </c>
      <c r="O26">
        <f>Orders[[#This Row],[Actual_Ship_Date]]-Orders[[#This Row],[Expected_Ship_Date]]</f>
        <v>3</v>
      </c>
    </row>
    <row r="27" spans="1:15" x14ac:dyDescent="0.25">
      <c r="A27" t="s">
        <v>71</v>
      </c>
      <c r="B27" t="s">
        <v>15</v>
      </c>
      <c r="C27" t="s">
        <v>43</v>
      </c>
      <c r="D27" t="s">
        <v>35</v>
      </c>
      <c r="E27" t="s">
        <v>63</v>
      </c>
      <c r="F27" s="1">
        <v>45752</v>
      </c>
      <c r="G27" s="1">
        <v>45763</v>
      </c>
      <c r="H27" s="1">
        <v>45763</v>
      </c>
      <c r="I27" s="1">
        <v>45766</v>
      </c>
      <c r="J27" t="s">
        <v>32</v>
      </c>
      <c r="K27">
        <v>127</v>
      </c>
      <c r="L27">
        <v>434.88</v>
      </c>
      <c r="M27">
        <v>55229.760000000002</v>
      </c>
      <c r="N27">
        <v>11</v>
      </c>
      <c r="O27">
        <f>Orders[[#This Row],[Actual_Ship_Date]]-Orders[[#This Row],[Expected_Ship_Date]]</f>
        <v>0</v>
      </c>
    </row>
    <row r="28" spans="1:15" x14ac:dyDescent="0.25">
      <c r="A28" t="s">
        <v>72</v>
      </c>
      <c r="B28" t="s">
        <v>48</v>
      </c>
      <c r="C28" t="s">
        <v>34</v>
      </c>
      <c r="D28" t="s">
        <v>17</v>
      </c>
      <c r="E28" t="s">
        <v>63</v>
      </c>
      <c r="F28" s="1">
        <v>45668</v>
      </c>
      <c r="G28" s="1">
        <v>45673</v>
      </c>
      <c r="H28" s="1">
        <v>45673</v>
      </c>
      <c r="I28" s="1">
        <v>45678</v>
      </c>
      <c r="J28" t="s">
        <v>19</v>
      </c>
      <c r="K28">
        <v>65</v>
      </c>
      <c r="L28">
        <v>352.15</v>
      </c>
      <c r="M28">
        <v>22889.75</v>
      </c>
      <c r="N28">
        <v>5</v>
      </c>
      <c r="O28">
        <f>Orders[[#This Row],[Actual_Ship_Date]]-Orders[[#This Row],[Expected_Ship_Date]]</f>
        <v>0</v>
      </c>
    </row>
    <row r="29" spans="1:15" x14ac:dyDescent="0.25">
      <c r="A29" t="s">
        <v>73</v>
      </c>
      <c r="B29" t="s">
        <v>24</v>
      </c>
      <c r="C29" t="s">
        <v>34</v>
      </c>
      <c r="D29" t="s">
        <v>59</v>
      </c>
      <c r="E29" t="s">
        <v>18</v>
      </c>
      <c r="F29" s="1">
        <v>45663</v>
      </c>
      <c r="G29" s="1">
        <v>45675</v>
      </c>
      <c r="H29" s="1">
        <v>45675</v>
      </c>
      <c r="I29" s="1">
        <v>45679</v>
      </c>
      <c r="J29" t="s">
        <v>36</v>
      </c>
      <c r="K29">
        <v>57</v>
      </c>
      <c r="L29">
        <v>574.22</v>
      </c>
      <c r="M29">
        <v>32730.54</v>
      </c>
      <c r="N29">
        <v>12</v>
      </c>
      <c r="O29">
        <f>Orders[[#This Row],[Actual_Ship_Date]]-Orders[[#This Row],[Expected_Ship_Date]]</f>
        <v>0</v>
      </c>
    </row>
    <row r="30" spans="1:15" x14ac:dyDescent="0.25">
      <c r="A30" t="s">
        <v>74</v>
      </c>
      <c r="B30" t="s">
        <v>29</v>
      </c>
      <c r="C30" t="s">
        <v>30</v>
      </c>
      <c r="D30" t="s">
        <v>17</v>
      </c>
      <c r="E30" t="s">
        <v>63</v>
      </c>
      <c r="F30" s="1">
        <v>45674</v>
      </c>
      <c r="G30" s="1">
        <v>45687</v>
      </c>
      <c r="H30" s="1">
        <v>45690</v>
      </c>
      <c r="I30" s="1">
        <v>45693</v>
      </c>
      <c r="J30" t="s">
        <v>27</v>
      </c>
      <c r="K30">
        <v>197</v>
      </c>
      <c r="L30">
        <v>796.34</v>
      </c>
      <c r="M30">
        <v>156878.98000000001</v>
      </c>
      <c r="N30">
        <v>16</v>
      </c>
      <c r="O30">
        <f>Orders[[#This Row],[Actual_Ship_Date]]-Orders[[#This Row],[Expected_Ship_Date]]</f>
        <v>3</v>
      </c>
    </row>
    <row r="31" spans="1:15" x14ac:dyDescent="0.25">
      <c r="A31" t="s">
        <v>75</v>
      </c>
      <c r="B31" t="s">
        <v>42</v>
      </c>
      <c r="C31" t="s">
        <v>34</v>
      </c>
      <c r="D31" t="s">
        <v>59</v>
      </c>
      <c r="E31" t="s">
        <v>57</v>
      </c>
      <c r="F31" s="1">
        <v>45670</v>
      </c>
      <c r="G31" s="1">
        <v>45674</v>
      </c>
      <c r="H31" s="1">
        <v>45676</v>
      </c>
      <c r="I31" s="1">
        <v>45678</v>
      </c>
      <c r="J31" t="s">
        <v>27</v>
      </c>
      <c r="K31">
        <v>38</v>
      </c>
      <c r="L31">
        <v>794.27</v>
      </c>
      <c r="M31">
        <v>30182.26</v>
      </c>
      <c r="N31">
        <v>6</v>
      </c>
      <c r="O31">
        <f>Orders[[#This Row],[Actual_Ship_Date]]-Orders[[#This Row],[Expected_Ship_Date]]</f>
        <v>2</v>
      </c>
    </row>
    <row r="32" spans="1:15" x14ac:dyDescent="0.25">
      <c r="A32" t="s">
        <v>76</v>
      </c>
      <c r="B32" t="s">
        <v>15</v>
      </c>
      <c r="C32" t="s">
        <v>51</v>
      </c>
      <c r="D32" t="s">
        <v>17</v>
      </c>
      <c r="E32" t="s">
        <v>57</v>
      </c>
      <c r="F32" s="1">
        <v>45678</v>
      </c>
      <c r="G32" s="1">
        <v>45688</v>
      </c>
      <c r="H32" s="1">
        <v>45693</v>
      </c>
      <c r="I32" s="1">
        <v>45698</v>
      </c>
      <c r="J32" t="s">
        <v>27</v>
      </c>
      <c r="K32">
        <v>161</v>
      </c>
      <c r="L32">
        <v>836.52</v>
      </c>
      <c r="M32">
        <v>134679.72</v>
      </c>
      <c r="N32">
        <v>15</v>
      </c>
      <c r="O32">
        <f>Orders[[#This Row],[Actual_Ship_Date]]-Orders[[#This Row],[Expected_Ship_Date]]</f>
        <v>5</v>
      </c>
    </row>
    <row r="33" spans="1:15" x14ac:dyDescent="0.25">
      <c r="A33" t="s">
        <v>77</v>
      </c>
      <c r="B33" t="s">
        <v>78</v>
      </c>
      <c r="C33" t="s">
        <v>25</v>
      </c>
      <c r="D33" t="s">
        <v>59</v>
      </c>
      <c r="E33" t="s">
        <v>63</v>
      </c>
      <c r="F33" s="1">
        <v>45777</v>
      </c>
      <c r="G33" s="1">
        <v>45790</v>
      </c>
      <c r="H33" s="1">
        <v>45790</v>
      </c>
      <c r="I33" s="1">
        <v>45792</v>
      </c>
      <c r="J33" t="s">
        <v>32</v>
      </c>
      <c r="K33">
        <v>32</v>
      </c>
      <c r="L33">
        <v>634.91999999999996</v>
      </c>
      <c r="M33">
        <v>20317.439999999999</v>
      </c>
      <c r="N33">
        <v>13</v>
      </c>
      <c r="O33">
        <f>Orders[[#This Row],[Actual_Ship_Date]]-Orders[[#This Row],[Expected_Ship_Date]]</f>
        <v>0</v>
      </c>
    </row>
    <row r="34" spans="1:15" x14ac:dyDescent="0.25">
      <c r="A34" t="s">
        <v>79</v>
      </c>
      <c r="B34" t="s">
        <v>29</v>
      </c>
      <c r="C34" t="s">
        <v>16</v>
      </c>
      <c r="D34" t="s">
        <v>39</v>
      </c>
      <c r="E34" t="s">
        <v>57</v>
      </c>
      <c r="F34" s="1">
        <v>45684</v>
      </c>
      <c r="G34" s="1">
        <v>45698</v>
      </c>
      <c r="H34" s="1">
        <v>45698</v>
      </c>
      <c r="I34" s="1">
        <v>45700</v>
      </c>
      <c r="J34" t="s">
        <v>36</v>
      </c>
      <c r="K34">
        <v>69</v>
      </c>
      <c r="L34">
        <v>770.96</v>
      </c>
      <c r="M34">
        <v>53196.24</v>
      </c>
      <c r="N34">
        <v>14</v>
      </c>
      <c r="O34">
        <f>Orders[[#This Row],[Actual_Ship_Date]]-Orders[[#This Row],[Expected_Ship_Date]]</f>
        <v>0</v>
      </c>
    </row>
    <row r="35" spans="1:15" x14ac:dyDescent="0.25">
      <c r="A35" t="s">
        <v>80</v>
      </c>
      <c r="B35" t="s">
        <v>38</v>
      </c>
      <c r="C35" t="s">
        <v>51</v>
      </c>
      <c r="D35" t="s">
        <v>35</v>
      </c>
      <c r="E35" t="s">
        <v>31</v>
      </c>
      <c r="F35" s="1">
        <v>45663</v>
      </c>
      <c r="G35" s="1">
        <v>45666</v>
      </c>
      <c r="H35" s="1">
        <v>45666</v>
      </c>
      <c r="I35" s="1">
        <v>45668</v>
      </c>
      <c r="J35" t="s">
        <v>32</v>
      </c>
      <c r="K35">
        <v>118</v>
      </c>
      <c r="L35">
        <v>475.65</v>
      </c>
      <c r="M35">
        <v>56126.7</v>
      </c>
      <c r="N35">
        <v>3</v>
      </c>
      <c r="O35">
        <f>Orders[[#This Row],[Actual_Ship_Date]]-Orders[[#This Row],[Expected_Ship_Date]]</f>
        <v>0</v>
      </c>
    </row>
    <row r="36" spans="1:15" x14ac:dyDescent="0.25">
      <c r="A36" t="s">
        <v>81</v>
      </c>
      <c r="B36" t="s">
        <v>38</v>
      </c>
      <c r="C36" t="s">
        <v>43</v>
      </c>
      <c r="D36" t="s">
        <v>35</v>
      </c>
      <c r="E36" t="s">
        <v>57</v>
      </c>
      <c r="F36" s="1">
        <v>45778</v>
      </c>
      <c r="G36" s="1">
        <v>45792</v>
      </c>
      <c r="H36" s="1">
        <v>45792</v>
      </c>
      <c r="I36" s="1">
        <v>45797</v>
      </c>
      <c r="J36" t="s">
        <v>19</v>
      </c>
      <c r="K36">
        <v>154</v>
      </c>
      <c r="L36">
        <v>476.36</v>
      </c>
      <c r="M36">
        <v>73359.44</v>
      </c>
      <c r="N36">
        <v>14</v>
      </c>
      <c r="O36">
        <f>Orders[[#This Row],[Actual_Ship_Date]]-Orders[[#This Row],[Expected_Ship_Date]]</f>
        <v>0</v>
      </c>
    </row>
    <row r="37" spans="1:15" x14ac:dyDescent="0.25">
      <c r="A37" t="s">
        <v>82</v>
      </c>
      <c r="B37" t="s">
        <v>42</v>
      </c>
      <c r="C37" t="s">
        <v>46</v>
      </c>
      <c r="D37" t="s">
        <v>17</v>
      </c>
      <c r="E37" t="s">
        <v>18</v>
      </c>
      <c r="F37" s="1">
        <v>45704</v>
      </c>
      <c r="G37" s="1">
        <v>45719</v>
      </c>
      <c r="H37" s="1">
        <v>45724</v>
      </c>
      <c r="I37" s="1">
        <v>45725</v>
      </c>
      <c r="J37" t="s">
        <v>27</v>
      </c>
      <c r="K37">
        <v>58</v>
      </c>
      <c r="L37">
        <v>584.53</v>
      </c>
      <c r="M37">
        <v>33902.74</v>
      </c>
      <c r="N37">
        <v>20</v>
      </c>
      <c r="O37">
        <f>Orders[[#This Row],[Actual_Ship_Date]]-Orders[[#This Row],[Expected_Ship_Date]]</f>
        <v>5</v>
      </c>
    </row>
    <row r="38" spans="1:15" x14ac:dyDescent="0.25">
      <c r="A38" t="s">
        <v>83</v>
      </c>
      <c r="B38" t="s">
        <v>29</v>
      </c>
      <c r="C38" t="s">
        <v>43</v>
      </c>
      <c r="D38" t="s">
        <v>59</v>
      </c>
      <c r="E38" t="s">
        <v>18</v>
      </c>
      <c r="F38" s="1">
        <v>45737</v>
      </c>
      <c r="G38" s="1">
        <v>45751</v>
      </c>
      <c r="H38" s="1">
        <v>45751</v>
      </c>
      <c r="I38" s="1">
        <v>45753</v>
      </c>
      <c r="J38" t="s">
        <v>19</v>
      </c>
      <c r="K38">
        <v>50</v>
      </c>
      <c r="L38">
        <v>750.98</v>
      </c>
      <c r="M38">
        <v>37549</v>
      </c>
      <c r="N38">
        <v>14</v>
      </c>
      <c r="O38">
        <f>Orders[[#This Row],[Actual_Ship_Date]]-Orders[[#This Row],[Expected_Ship_Date]]</f>
        <v>0</v>
      </c>
    </row>
    <row r="39" spans="1:15" x14ac:dyDescent="0.25">
      <c r="A39" t="s">
        <v>84</v>
      </c>
      <c r="B39" t="s">
        <v>29</v>
      </c>
      <c r="C39" t="s">
        <v>30</v>
      </c>
      <c r="D39" t="s">
        <v>22</v>
      </c>
      <c r="E39" t="s">
        <v>26</v>
      </c>
      <c r="F39" s="1">
        <v>45760</v>
      </c>
      <c r="G39" s="1">
        <v>45773</v>
      </c>
      <c r="H39" s="1">
        <v>45778</v>
      </c>
      <c r="I39" s="1">
        <v>45780</v>
      </c>
      <c r="J39" t="s">
        <v>27</v>
      </c>
      <c r="K39">
        <v>184</v>
      </c>
      <c r="L39">
        <v>105.26</v>
      </c>
      <c r="M39">
        <v>19367.84</v>
      </c>
      <c r="N39">
        <v>18</v>
      </c>
      <c r="O39">
        <f>Orders[[#This Row],[Actual_Ship_Date]]-Orders[[#This Row],[Expected_Ship_Date]]</f>
        <v>5</v>
      </c>
    </row>
    <row r="40" spans="1:15" x14ac:dyDescent="0.25">
      <c r="A40" t="s">
        <v>85</v>
      </c>
      <c r="B40" t="s">
        <v>24</v>
      </c>
      <c r="C40" t="s">
        <v>25</v>
      </c>
      <c r="D40" t="s">
        <v>35</v>
      </c>
      <c r="E40" t="s">
        <v>57</v>
      </c>
      <c r="F40" s="1">
        <v>45762</v>
      </c>
      <c r="G40" s="1">
        <v>45772</v>
      </c>
      <c r="H40" s="1">
        <v>45772</v>
      </c>
      <c r="I40" s="1">
        <v>45775</v>
      </c>
      <c r="J40" t="s">
        <v>19</v>
      </c>
      <c r="K40">
        <v>173</v>
      </c>
      <c r="L40">
        <v>176.26</v>
      </c>
      <c r="M40">
        <v>30492.98</v>
      </c>
      <c r="N40">
        <v>10</v>
      </c>
      <c r="O40">
        <f>Orders[[#This Row],[Actual_Ship_Date]]-Orders[[#This Row],[Expected_Ship_Date]]</f>
        <v>0</v>
      </c>
    </row>
    <row r="41" spans="1:15" x14ac:dyDescent="0.25">
      <c r="A41" t="s">
        <v>86</v>
      </c>
      <c r="B41" t="s">
        <v>29</v>
      </c>
      <c r="C41" t="s">
        <v>16</v>
      </c>
      <c r="D41" t="s">
        <v>59</v>
      </c>
      <c r="E41" t="s">
        <v>26</v>
      </c>
      <c r="F41" s="1">
        <v>45702</v>
      </c>
      <c r="G41" s="1">
        <v>45715</v>
      </c>
      <c r="H41" s="1">
        <v>45717</v>
      </c>
      <c r="I41" s="1">
        <v>45721</v>
      </c>
      <c r="J41" t="s">
        <v>27</v>
      </c>
      <c r="K41">
        <v>142</v>
      </c>
      <c r="L41">
        <v>291.51</v>
      </c>
      <c r="M41">
        <v>41394.42</v>
      </c>
      <c r="N41">
        <v>15</v>
      </c>
      <c r="O41">
        <f>Orders[[#This Row],[Actual_Ship_Date]]-Orders[[#This Row],[Expected_Ship_Date]]</f>
        <v>2</v>
      </c>
    </row>
    <row r="42" spans="1:15" x14ac:dyDescent="0.25">
      <c r="A42" t="s">
        <v>87</v>
      </c>
      <c r="B42" t="s">
        <v>15</v>
      </c>
      <c r="C42" t="s">
        <v>16</v>
      </c>
      <c r="D42" t="s">
        <v>39</v>
      </c>
      <c r="E42" t="s">
        <v>63</v>
      </c>
      <c r="F42" s="1">
        <v>45732</v>
      </c>
      <c r="G42" s="1">
        <v>45739</v>
      </c>
      <c r="H42" s="1">
        <v>45739</v>
      </c>
      <c r="I42" s="1">
        <v>45740</v>
      </c>
      <c r="J42" t="s">
        <v>36</v>
      </c>
      <c r="K42">
        <v>85</v>
      </c>
      <c r="L42">
        <v>379.39</v>
      </c>
      <c r="M42">
        <v>32248.15</v>
      </c>
      <c r="N42">
        <v>7</v>
      </c>
      <c r="O42">
        <f>Orders[[#This Row],[Actual_Ship_Date]]-Orders[[#This Row],[Expected_Ship_Date]]</f>
        <v>0</v>
      </c>
    </row>
    <row r="43" spans="1:15" x14ac:dyDescent="0.25">
      <c r="A43" t="s">
        <v>88</v>
      </c>
      <c r="B43" t="s">
        <v>45</v>
      </c>
      <c r="C43" t="s">
        <v>46</v>
      </c>
      <c r="D43" t="s">
        <v>39</v>
      </c>
      <c r="E43" t="s">
        <v>31</v>
      </c>
      <c r="F43" s="1">
        <v>45682</v>
      </c>
      <c r="G43" s="1">
        <v>45689</v>
      </c>
      <c r="H43" s="1">
        <v>45689</v>
      </c>
      <c r="I43" s="1">
        <v>45693</v>
      </c>
      <c r="J43" t="s">
        <v>19</v>
      </c>
      <c r="K43">
        <v>142</v>
      </c>
      <c r="L43">
        <v>588.53</v>
      </c>
      <c r="M43">
        <v>83571.259999999995</v>
      </c>
      <c r="N43">
        <v>7</v>
      </c>
      <c r="O43">
        <f>Orders[[#This Row],[Actual_Ship_Date]]-Orders[[#This Row],[Expected_Ship_Date]]</f>
        <v>0</v>
      </c>
    </row>
    <row r="44" spans="1:15" x14ac:dyDescent="0.25">
      <c r="A44" t="s">
        <v>89</v>
      </c>
      <c r="B44" t="s">
        <v>56</v>
      </c>
      <c r="C44" t="s">
        <v>25</v>
      </c>
      <c r="D44" t="s">
        <v>39</v>
      </c>
      <c r="E44" t="s">
        <v>57</v>
      </c>
      <c r="F44" s="1">
        <v>45743</v>
      </c>
      <c r="G44" s="1">
        <v>45751</v>
      </c>
      <c r="H44" s="1">
        <v>45753</v>
      </c>
      <c r="I44" s="1">
        <v>45756</v>
      </c>
      <c r="J44" t="s">
        <v>27</v>
      </c>
      <c r="K44">
        <v>36</v>
      </c>
      <c r="L44">
        <v>615.99</v>
      </c>
      <c r="M44">
        <v>22175.64</v>
      </c>
      <c r="N44">
        <v>10</v>
      </c>
      <c r="O44">
        <f>Orders[[#This Row],[Actual_Ship_Date]]-Orders[[#This Row],[Expected_Ship_Date]]</f>
        <v>2</v>
      </c>
    </row>
    <row r="45" spans="1:15" x14ac:dyDescent="0.25">
      <c r="A45" t="s">
        <v>90</v>
      </c>
      <c r="B45" t="s">
        <v>78</v>
      </c>
      <c r="C45" t="s">
        <v>25</v>
      </c>
      <c r="D45" t="s">
        <v>39</v>
      </c>
      <c r="E45" t="s">
        <v>63</v>
      </c>
      <c r="F45" s="1">
        <v>45709</v>
      </c>
      <c r="G45" s="1">
        <v>45723</v>
      </c>
      <c r="H45" s="1">
        <v>45723</v>
      </c>
      <c r="I45" s="1">
        <v>45728</v>
      </c>
      <c r="J45" t="s">
        <v>32</v>
      </c>
      <c r="K45">
        <v>175</v>
      </c>
      <c r="L45">
        <v>800.2</v>
      </c>
      <c r="M45">
        <v>140035</v>
      </c>
      <c r="N45">
        <v>14</v>
      </c>
      <c r="O45">
        <f>Orders[[#This Row],[Actual_Ship_Date]]-Orders[[#This Row],[Expected_Ship_Date]]</f>
        <v>0</v>
      </c>
    </row>
    <row r="46" spans="1:15" x14ac:dyDescent="0.25">
      <c r="A46" t="s">
        <v>91</v>
      </c>
      <c r="B46" t="s">
        <v>24</v>
      </c>
      <c r="C46" t="s">
        <v>30</v>
      </c>
      <c r="D46" t="s">
        <v>39</v>
      </c>
      <c r="E46" t="s">
        <v>18</v>
      </c>
      <c r="F46" s="1">
        <v>45764</v>
      </c>
      <c r="G46" s="1">
        <v>45767</v>
      </c>
      <c r="H46" s="1">
        <v>45767</v>
      </c>
      <c r="I46" s="1">
        <v>45770</v>
      </c>
      <c r="J46" t="s">
        <v>19</v>
      </c>
      <c r="K46">
        <v>153</v>
      </c>
      <c r="L46">
        <v>521.55999999999995</v>
      </c>
      <c r="M46">
        <v>79798.679999999993</v>
      </c>
      <c r="N46">
        <v>3</v>
      </c>
      <c r="O46">
        <f>Orders[[#This Row],[Actual_Ship_Date]]-Orders[[#This Row],[Expected_Ship_Date]]</f>
        <v>0</v>
      </c>
    </row>
    <row r="47" spans="1:15" x14ac:dyDescent="0.25">
      <c r="A47" t="s">
        <v>92</v>
      </c>
      <c r="B47" t="s">
        <v>42</v>
      </c>
      <c r="C47" t="s">
        <v>25</v>
      </c>
      <c r="D47" t="s">
        <v>17</v>
      </c>
      <c r="E47" t="s">
        <v>40</v>
      </c>
      <c r="F47" s="1">
        <v>45744</v>
      </c>
      <c r="G47" s="1">
        <v>45750</v>
      </c>
      <c r="H47" s="1">
        <v>45752</v>
      </c>
      <c r="I47" s="1">
        <v>45756</v>
      </c>
      <c r="J47" t="s">
        <v>27</v>
      </c>
      <c r="K47">
        <v>193</v>
      </c>
      <c r="L47">
        <v>156.69</v>
      </c>
      <c r="M47">
        <v>30241.17</v>
      </c>
      <c r="N47">
        <v>8</v>
      </c>
      <c r="O47">
        <f>Orders[[#This Row],[Actual_Ship_Date]]-Orders[[#This Row],[Expected_Ship_Date]]</f>
        <v>2</v>
      </c>
    </row>
    <row r="48" spans="1:15" x14ac:dyDescent="0.25">
      <c r="A48" t="s">
        <v>93</v>
      </c>
      <c r="B48" t="s">
        <v>78</v>
      </c>
      <c r="C48" t="s">
        <v>51</v>
      </c>
      <c r="D48" t="s">
        <v>35</v>
      </c>
      <c r="E48" t="s">
        <v>26</v>
      </c>
      <c r="F48" s="1">
        <v>45739</v>
      </c>
      <c r="G48" s="1">
        <v>45751</v>
      </c>
      <c r="H48" s="1">
        <v>45751</v>
      </c>
      <c r="I48" s="1">
        <v>45752</v>
      </c>
      <c r="J48" t="s">
        <v>19</v>
      </c>
      <c r="K48">
        <v>62</v>
      </c>
      <c r="L48">
        <v>688.48</v>
      </c>
      <c r="M48">
        <v>42685.760000000002</v>
      </c>
      <c r="N48">
        <v>12</v>
      </c>
      <c r="O48">
        <f>Orders[[#This Row],[Actual_Ship_Date]]-Orders[[#This Row],[Expected_Ship_Date]]</f>
        <v>0</v>
      </c>
    </row>
    <row r="49" spans="1:15" x14ac:dyDescent="0.25">
      <c r="A49" t="s">
        <v>94</v>
      </c>
      <c r="B49" t="s">
        <v>38</v>
      </c>
      <c r="C49" t="s">
        <v>30</v>
      </c>
      <c r="D49" t="s">
        <v>39</v>
      </c>
      <c r="E49" t="s">
        <v>26</v>
      </c>
      <c r="F49" s="1">
        <v>45718</v>
      </c>
      <c r="G49" s="1">
        <v>45730</v>
      </c>
      <c r="H49" s="1">
        <v>45735</v>
      </c>
      <c r="I49" s="1">
        <v>45736</v>
      </c>
      <c r="J49" t="s">
        <v>27</v>
      </c>
      <c r="K49">
        <v>166</v>
      </c>
      <c r="L49">
        <v>495.69</v>
      </c>
      <c r="M49">
        <v>82284.539999999994</v>
      </c>
      <c r="N49">
        <v>17</v>
      </c>
      <c r="O49">
        <f>Orders[[#This Row],[Actual_Ship_Date]]-Orders[[#This Row],[Expected_Ship_Date]]</f>
        <v>5</v>
      </c>
    </row>
    <row r="50" spans="1:15" x14ac:dyDescent="0.25">
      <c r="A50" t="s">
        <v>95</v>
      </c>
      <c r="B50" t="s">
        <v>45</v>
      </c>
      <c r="C50" t="s">
        <v>43</v>
      </c>
      <c r="D50" t="s">
        <v>17</v>
      </c>
      <c r="E50" t="s">
        <v>18</v>
      </c>
      <c r="F50" s="1">
        <v>45676</v>
      </c>
      <c r="G50" s="1">
        <v>45689</v>
      </c>
      <c r="H50" s="1">
        <v>45692</v>
      </c>
      <c r="I50" s="1">
        <v>45693</v>
      </c>
      <c r="J50" t="s">
        <v>27</v>
      </c>
      <c r="K50">
        <v>32</v>
      </c>
      <c r="L50">
        <v>664.98</v>
      </c>
      <c r="M50">
        <v>21279.360000000001</v>
      </c>
      <c r="N50">
        <v>16</v>
      </c>
      <c r="O50">
        <f>Orders[[#This Row],[Actual_Ship_Date]]-Orders[[#This Row],[Expected_Ship_Date]]</f>
        <v>3</v>
      </c>
    </row>
    <row r="51" spans="1:15" x14ac:dyDescent="0.25">
      <c r="A51" t="s">
        <v>96</v>
      </c>
      <c r="B51" t="s">
        <v>15</v>
      </c>
      <c r="C51" t="s">
        <v>46</v>
      </c>
      <c r="D51" t="s">
        <v>39</v>
      </c>
      <c r="E51" t="s">
        <v>63</v>
      </c>
      <c r="F51" s="1">
        <v>45664</v>
      </c>
      <c r="G51" s="1">
        <v>45675</v>
      </c>
      <c r="H51" s="1">
        <v>45675</v>
      </c>
      <c r="I51" s="1">
        <v>45676</v>
      </c>
      <c r="J51" t="s">
        <v>32</v>
      </c>
      <c r="K51">
        <v>123</v>
      </c>
      <c r="L51">
        <v>572.42999999999995</v>
      </c>
      <c r="M51">
        <v>70408.89</v>
      </c>
      <c r="N51">
        <v>11</v>
      </c>
      <c r="O51">
        <f>Orders[[#This Row],[Actual_Ship_Date]]-Orders[[#This Row],[Expected_Ship_Date]]</f>
        <v>0</v>
      </c>
    </row>
    <row r="52" spans="1:15" x14ac:dyDescent="0.25">
      <c r="A52" t="s">
        <v>97</v>
      </c>
      <c r="B52" t="s">
        <v>78</v>
      </c>
      <c r="C52" t="s">
        <v>30</v>
      </c>
      <c r="D52" t="s">
        <v>39</v>
      </c>
      <c r="E52" t="s">
        <v>57</v>
      </c>
      <c r="F52" s="1">
        <v>45762</v>
      </c>
      <c r="G52" s="1">
        <v>45776</v>
      </c>
      <c r="H52" s="1">
        <v>45778</v>
      </c>
      <c r="I52" s="1">
        <v>45782</v>
      </c>
      <c r="J52" t="s">
        <v>27</v>
      </c>
      <c r="K52">
        <v>145</v>
      </c>
      <c r="L52">
        <v>387.34</v>
      </c>
      <c r="M52">
        <v>56164.3</v>
      </c>
      <c r="N52">
        <v>16</v>
      </c>
      <c r="O52">
        <f>Orders[[#This Row],[Actual_Ship_Date]]-Orders[[#This Row],[Expected_Ship_Date]]</f>
        <v>2</v>
      </c>
    </row>
    <row r="53" spans="1:15" x14ac:dyDescent="0.25">
      <c r="A53" t="s">
        <v>98</v>
      </c>
      <c r="B53" t="s">
        <v>45</v>
      </c>
      <c r="C53" t="s">
        <v>25</v>
      </c>
      <c r="D53" t="s">
        <v>39</v>
      </c>
      <c r="E53" t="s">
        <v>31</v>
      </c>
      <c r="F53" s="1">
        <v>45754</v>
      </c>
      <c r="G53" s="1">
        <v>45760</v>
      </c>
      <c r="H53" s="1">
        <v>45765</v>
      </c>
      <c r="I53" s="1">
        <v>45768</v>
      </c>
      <c r="J53" t="s">
        <v>27</v>
      </c>
      <c r="K53">
        <v>138</v>
      </c>
      <c r="L53">
        <v>419.64</v>
      </c>
      <c r="M53">
        <v>57910.32</v>
      </c>
      <c r="N53">
        <v>11</v>
      </c>
      <c r="O53">
        <f>Orders[[#This Row],[Actual_Ship_Date]]-Orders[[#This Row],[Expected_Ship_Date]]</f>
        <v>5</v>
      </c>
    </row>
    <row r="54" spans="1:15" x14ac:dyDescent="0.25">
      <c r="A54" t="s">
        <v>99</v>
      </c>
      <c r="B54" t="s">
        <v>78</v>
      </c>
      <c r="C54" t="s">
        <v>34</v>
      </c>
      <c r="D54" t="s">
        <v>39</v>
      </c>
      <c r="E54" t="s">
        <v>40</v>
      </c>
      <c r="F54" s="1">
        <v>45749</v>
      </c>
      <c r="G54" s="1">
        <v>45756</v>
      </c>
      <c r="H54" s="1">
        <v>45756</v>
      </c>
      <c r="I54" s="1">
        <v>45759</v>
      </c>
      <c r="J54" t="s">
        <v>36</v>
      </c>
      <c r="K54">
        <v>143</v>
      </c>
      <c r="L54">
        <v>82.28</v>
      </c>
      <c r="M54">
        <v>11766.04</v>
      </c>
      <c r="N54">
        <v>7</v>
      </c>
      <c r="O54">
        <f>Orders[[#This Row],[Actual_Ship_Date]]-Orders[[#This Row],[Expected_Ship_Date]]</f>
        <v>0</v>
      </c>
    </row>
    <row r="55" spans="1:15" x14ac:dyDescent="0.25">
      <c r="A55" t="s">
        <v>100</v>
      </c>
      <c r="B55" t="s">
        <v>29</v>
      </c>
      <c r="C55" t="s">
        <v>34</v>
      </c>
      <c r="D55" t="s">
        <v>39</v>
      </c>
      <c r="E55" t="s">
        <v>18</v>
      </c>
      <c r="F55" s="1">
        <v>45677</v>
      </c>
      <c r="G55" s="1">
        <v>45691</v>
      </c>
      <c r="H55" s="1">
        <v>45691</v>
      </c>
      <c r="I55" s="1">
        <v>45692</v>
      </c>
      <c r="J55" t="s">
        <v>36</v>
      </c>
      <c r="K55">
        <v>143</v>
      </c>
      <c r="L55">
        <v>404.05</v>
      </c>
      <c r="M55">
        <v>57779.15</v>
      </c>
      <c r="N55">
        <v>14</v>
      </c>
      <c r="O55">
        <f>Orders[[#This Row],[Actual_Ship_Date]]-Orders[[#This Row],[Expected_Ship_Date]]</f>
        <v>0</v>
      </c>
    </row>
    <row r="56" spans="1:15" x14ac:dyDescent="0.25">
      <c r="A56" t="s">
        <v>101</v>
      </c>
      <c r="B56" t="s">
        <v>53</v>
      </c>
      <c r="C56" t="s">
        <v>51</v>
      </c>
      <c r="D56" t="s">
        <v>59</v>
      </c>
      <c r="E56" t="s">
        <v>57</v>
      </c>
      <c r="F56" s="1">
        <v>45773</v>
      </c>
      <c r="G56" s="1">
        <v>45788</v>
      </c>
      <c r="H56" s="1">
        <v>45790</v>
      </c>
      <c r="I56" s="1">
        <v>45791</v>
      </c>
      <c r="J56" t="s">
        <v>27</v>
      </c>
      <c r="K56">
        <v>200</v>
      </c>
      <c r="L56">
        <v>495.7</v>
      </c>
      <c r="M56">
        <v>99140</v>
      </c>
      <c r="N56">
        <v>17</v>
      </c>
      <c r="O56">
        <f>Orders[[#This Row],[Actual_Ship_Date]]-Orders[[#This Row],[Expected_Ship_Date]]</f>
        <v>2</v>
      </c>
    </row>
    <row r="57" spans="1:15" x14ac:dyDescent="0.25">
      <c r="A57" t="s">
        <v>102</v>
      </c>
      <c r="B57" t="s">
        <v>48</v>
      </c>
      <c r="C57" t="s">
        <v>34</v>
      </c>
      <c r="D57" t="s">
        <v>39</v>
      </c>
      <c r="E57" t="s">
        <v>26</v>
      </c>
      <c r="F57" s="1">
        <v>45754</v>
      </c>
      <c r="G57" s="1">
        <v>45763</v>
      </c>
      <c r="H57" s="1">
        <v>45768</v>
      </c>
      <c r="I57" s="1">
        <v>45772</v>
      </c>
      <c r="J57" t="s">
        <v>27</v>
      </c>
      <c r="K57">
        <v>193</v>
      </c>
      <c r="L57">
        <v>471.02</v>
      </c>
      <c r="M57">
        <v>90906.86</v>
      </c>
      <c r="N57">
        <v>14</v>
      </c>
      <c r="O57">
        <f>Orders[[#This Row],[Actual_Ship_Date]]-Orders[[#This Row],[Expected_Ship_Date]]</f>
        <v>5</v>
      </c>
    </row>
    <row r="58" spans="1:15" x14ac:dyDescent="0.25">
      <c r="A58" t="s">
        <v>103</v>
      </c>
      <c r="B58" t="s">
        <v>38</v>
      </c>
      <c r="C58" t="s">
        <v>43</v>
      </c>
      <c r="D58" t="s">
        <v>39</v>
      </c>
      <c r="E58" t="s">
        <v>26</v>
      </c>
      <c r="F58" s="1">
        <v>45692</v>
      </c>
      <c r="G58" s="1">
        <v>45701</v>
      </c>
      <c r="H58" s="1">
        <v>45702</v>
      </c>
      <c r="I58" s="1">
        <v>45703</v>
      </c>
      <c r="J58" t="s">
        <v>27</v>
      </c>
      <c r="K58">
        <v>176</v>
      </c>
      <c r="L58">
        <v>582.08000000000004</v>
      </c>
      <c r="M58">
        <v>102446.08</v>
      </c>
      <c r="N58">
        <v>10</v>
      </c>
      <c r="O58">
        <f>Orders[[#This Row],[Actual_Ship_Date]]-Orders[[#This Row],[Expected_Ship_Date]]</f>
        <v>1</v>
      </c>
    </row>
    <row r="59" spans="1:15" x14ac:dyDescent="0.25">
      <c r="A59" t="s">
        <v>104</v>
      </c>
      <c r="B59" t="s">
        <v>53</v>
      </c>
      <c r="C59" t="s">
        <v>43</v>
      </c>
      <c r="D59" t="s">
        <v>35</v>
      </c>
      <c r="E59" t="s">
        <v>57</v>
      </c>
      <c r="F59" s="1">
        <v>45737</v>
      </c>
      <c r="G59" s="1">
        <v>45748</v>
      </c>
      <c r="H59" s="1">
        <v>45748</v>
      </c>
      <c r="I59" s="1">
        <v>45752</v>
      </c>
      <c r="J59" t="s">
        <v>32</v>
      </c>
      <c r="K59">
        <v>114</v>
      </c>
      <c r="L59">
        <v>128.31</v>
      </c>
      <c r="M59">
        <v>14627.34</v>
      </c>
      <c r="N59">
        <v>11</v>
      </c>
      <c r="O59">
        <f>Orders[[#This Row],[Actual_Ship_Date]]-Orders[[#This Row],[Expected_Ship_Date]]</f>
        <v>0</v>
      </c>
    </row>
    <row r="60" spans="1:15" x14ac:dyDescent="0.25">
      <c r="A60" t="s">
        <v>105</v>
      </c>
      <c r="B60" t="s">
        <v>38</v>
      </c>
      <c r="C60" t="s">
        <v>25</v>
      </c>
      <c r="D60" t="s">
        <v>35</v>
      </c>
      <c r="E60" t="s">
        <v>18</v>
      </c>
      <c r="F60" s="1">
        <v>45706</v>
      </c>
      <c r="G60" s="1">
        <v>45714</v>
      </c>
      <c r="H60" s="1">
        <v>45714</v>
      </c>
      <c r="I60" s="1">
        <v>45718</v>
      </c>
      <c r="J60" t="s">
        <v>36</v>
      </c>
      <c r="K60">
        <v>102</v>
      </c>
      <c r="L60">
        <v>247.34</v>
      </c>
      <c r="M60">
        <v>25228.68</v>
      </c>
      <c r="N60">
        <v>8</v>
      </c>
      <c r="O60">
        <f>Orders[[#This Row],[Actual_Ship_Date]]-Orders[[#This Row],[Expected_Ship_Date]]</f>
        <v>0</v>
      </c>
    </row>
    <row r="61" spans="1:15" x14ac:dyDescent="0.25">
      <c r="A61" t="s">
        <v>106</v>
      </c>
      <c r="B61" t="s">
        <v>42</v>
      </c>
      <c r="C61" t="s">
        <v>51</v>
      </c>
      <c r="D61" t="s">
        <v>35</v>
      </c>
      <c r="E61" t="s">
        <v>26</v>
      </c>
      <c r="F61" s="1">
        <v>45660</v>
      </c>
      <c r="G61" s="1">
        <v>45674</v>
      </c>
      <c r="H61" s="1">
        <v>45676</v>
      </c>
      <c r="I61" s="1">
        <v>45677</v>
      </c>
      <c r="J61" t="s">
        <v>27</v>
      </c>
      <c r="K61">
        <v>94</v>
      </c>
      <c r="L61">
        <v>202.23</v>
      </c>
      <c r="M61">
        <v>19009.62</v>
      </c>
      <c r="N61">
        <v>16</v>
      </c>
      <c r="O61">
        <f>Orders[[#This Row],[Actual_Ship_Date]]-Orders[[#This Row],[Expected_Ship_Date]]</f>
        <v>2</v>
      </c>
    </row>
    <row r="62" spans="1:15" x14ac:dyDescent="0.25">
      <c r="A62" t="s">
        <v>107</v>
      </c>
      <c r="B62" t="s">
        <v>48</v>
      </c>
      <c r="C62" t="s">
        <v>34</v>
      </c>
      <c r="D62" t="s">
        <v>39</v>
      </c>
      <c r="E62" t="s">
        <v>40</v>
      </c>
      <c r="F62" s="1">
        <v>45683</v>
      </c>
      <c r="G62" s="1">
        <v>45686</v>
      </c>
      <c r="H62" s="1">
        <v>45688</v>
      </c>
      <c r="I62" s="1">
        <v>45690</v>
      </c>
      <c r="J62" t="s">
        <v>27</v>
      </c>
      <c r="K62">
        <v>126</v>
      </c>
      <c r="L62">
        <v>574</v>
      </c>
      <c r="M62">
        <v>72324</v>
      </c>
      <c r="N62">
        <v>5</v>
      </c>
      <c r="O62">
        <f>Orders[[#This Row],[Actual_Ship_Date]]-Orders[[#This Row],[Expected_Ship_Date]]</f>
        <v>2</v>
      </c>
    </row>
    <row r="63" spans="1:15" x14ac:dyDescent="0.25">
      <c r="A63" t="s">
        <v>108</v>
      </c>
      <c r="B63" t="s">
        <v>42</v>
      </c>
      <c r="C63" t="s">
        <v>51</v>
      </c>
      <c r="D63" t="s">
        <v>59</v>
      </c>
      <c r="E63" t="s">
        <v>63</v>
      </c>
      <c r="F63" s="1">
        <v>45690</v>
      </c>
      <c r="G63" s="1">
        <v>45705</v>
      </c>
      <c r="H63" s="1">
        <v>45705</v>
      </c>
      <c r="I63" s="1">
        <v>45707</v>
      </c>
      <c r="J63" t="s">
        <v>19</v>
      </c>
      <c r="K63">
        <v>46</v>
      </c>
      <c r="L63">
        <v>820.54</v>
      </c>
      <c r="M63">
        <v>37744.839999999997</v>
      </c>
      <c r="N63">
        <v>15</v>
      </c>
      <c r="O63">
        <f>Orders[[#This Row],[Actual_Ship_Date]]-Orders[[#This Row],[Expected_Ship_Date]]</f>
        <v>0</v>
      </c>
    </row>
    <row r="64" spans="1:15" x14ac:dyDescent="0.25">
      <c r="A64" t="s">
        <v>109</v>
      </c>
      <c r="B64" t="s">
        <v>45</v>
      </c>
      <c r="C64" t="s">
        <v>16</v>
      </c>
      <c r="D64" t="s">
        <v>59</v>
      </c>
      <c r="E64" t="s">
        <v>40</v>
      </c>
      <c r="F64" s="1">
        <v>45744</v>
      </c>
      <c r="G64" s="1">
        <v>45753</v>
      </c>
      <c r="H64" s="1">
        <v>45754</v>
      </c>
      <c r="I64" s="1">
        <v>45756</v>
      </c>
      <c r="J64" t="s">
        <v>32</v>
      </c>
      <c r="K64">
        <v>181</v>
      </c>
      <c r="L64">
        <v>708.53</v>
      </c>
      <c r="M64">
        <v>128243.93</v>
      </c>
      <c r="N64">
        <v>10</v>
      </c>
      <c r="O64">
        <f>Orders[[#This Row],[Actual_Ship_Date]]-Orders[[#This Row],[Expected_Ship_Date]]</f>
        <v>1</v>
      </c>
    </row>
    <row r="65" spans="1:15" x14ac:dyDescent="0.25">
      <c r="A65" t="s">
        <v>110</v>
      </c>
      <c r="B65" t="s">
        <v>42</v>
      </c>
      <c r="C65" t="s">
        <v>46</v>
      </c>
      <c r="D65" t="s">
        <v>35</v>
      </c>
      <c r="E65" t="s">
        <v>18</v>
      </c>
      <c r="F65" s="1">
        <v>45734</v>
      </c>
      <c r="G65" s="1">
        <v>45749</v>
      </c>
      <c r="H65" s="1">
        <v>45749</v>
      </c>
      <c r="I65" s="1">
        <v>45754</v>
      </c>
      <c r="J65" t="s">
        <v>19</v>
      </c>
      <c r="K65">
        <v>114</v>
      </c>
      <c r="L65">
        <v>567.37</v>
      </c>
      <c r="M65">
        <v>64680.18</v>
      </c>
      <c r="N65">
        <v>15</v>
      </c>
      <c r="O65">
        <f>Orders[[#This Row],[Actual_Ship_Date]]-Orders[[#This Row],[Expected_Ship_Date]]</f>
        <v>0</v>
      </c>
    </row>
    <row r="66" spans="1:15" x14ac:dyDescent="0.25">
      <c r="A66" t="s">
        <v>111</v>
      </c>
      <c r="B66" t="s">
        <v>38</v>
      </c>
      <c r="C66" t="s">
        <v>43</v>
      </c>
      <c r="D66" t="s">
        <v>17</v>
      </c>
      <c r="E66" t="s">
        <v>40</v>
      </c>
      <c r="F66" s="1">
        <v>45763</v>
      </c>
      <c r="G66" s="1">
        <v>45773</v>
      </c>
      <c r="H66" s="1">
        <v>45773</v>
      </c>
      <c r="I66" s="1">
        <v>45777</v>
      </c>
      <c r="J66" t="s">
        <v>36</v>
      </c>
      <c r="K66">
        <v>122</v>
      </c>
      <c r="L66">
        <v>605.6</v>
      </c>
      <c r="M66">
        <v>73883.199999999997</v>
      </c>
      <c r="N66">
        <v>10</v>
      </c>
      <c r="O66">
        <f>Orders[[#This Row],[Actual_Ship_Date]]-Orders[[#This Row],[Expected_Ship_Date]]</f>
        <v>0</v>
      </c>
    </row>
    <row r="67" spans="1:15" x14ac:dyDescent="0.25">
      <c r="A67" t="s">
        <v>112</v>
      </c>
      <c r="B67" t="s">
        <v>48</v>
      </c>
      <c r="C67" t="s">
        <v>25</v>
      </c>
      <c r="D67" t="s">
        <v>59</v>
      </c>
      <c r="E67" t="s">
        <v>26</v>
      </c>
      <c r="F67" s="1">
        <v>45692</v>
      </c>
      <c r="G67" s="1">
        <v>45704</v>
      </c>
      <c r="H67" s="1">
        <v>45709</v>
      </c>
      <c r="I67" s="1">
        <v>45714</v>
      </c>
      <c r="J67" t="s">
        <v>27</v>
      </c>
      <c r="K67">
        <v>124</v>
      </c>
      <c r="L67">
        <v>378.7</v>
      </c>
      <c r="M67">
        <v>46958.8</v>
      </c>
      <c r="N67">
        <v>17</v>
      </c>
      <c r="O67">
        <f>Orders[[#This Row],[Actual_Ship_Date]]-Orders[[#This Row],[Expected_Ship_Date]]</f>
        <v>5</v>
      </c>
    </row>
    <row r="68" spans="1:15" x14ac:dyDescent="0.25">
      <c r="A68" t="s">
        <v>113</v>
      </c>
      <c r="B68" t="s">
        <v>38</v>
      </c>
      <c r="C68" t="s">
        <v>46</v>
      </c>
      <c r="D68" t="s">
        <v>35</v>
      </c>
      <c r="E68" t="s">
        <v>18</v>
      </c>
      <c r="F68" s="1">
        <v>45764</v>
      </c>
      <c r="G68" s="1">
        <v>45768</v>
      </c>
      <c r="H68" s="1">
        <v>45768</v>
      </c>
      <c r="I68" s="1">
        <v>45772</v>
      </c>
      <c r="J68" t="s">
        <v>19</v>
      </c>
      <c r="K68">
        <v>150</v>
      </c>
      <c r="L68">
        <v>524.63</v>
      </c>
      <c r="M68">
        <v>78694.5</v>
      </c>
      <c r="N68">
        <v>4</v>
      </c>
      <c r="O68">
        <f>Orders[[#This Row],[Actual_Ship_Date]]-Orders[[#This Row],[Expected_Ship_Date]]</f>
        <v>0</v>
      </c>
    </row>
    <row r="69" spans="1:15" x14ac:dyDescent="0.25">
      <c r="A69" t="s">
        <v>114</v>
      </c>
      <c r="B69" t="s">
        <v>48</v>
      </c>
      <c r="C69" t="s">
        <v>25</v>
      </c>
      <c r="D69" t="s">
        <v>17</v>
      </c>
      <c r="E69" t="s">
        <v>31</v>
      </c>
      <c r="F69" s="1">
        <v>45766</v>
      </c>
      <c r="G69" s="1">
        <v>45774</v>
      </c>
      <c r="H69" s="1">
        <v>45774</v>
      </c>
      <c r="I69" s="1">
        <v>45778</v>
      </c>
      <c r="J69" t="s">
        <v>19</v>
      </c>
      <c r="K69">
        <v>71</v>
      </c>
      <c r="L69">
        <v>299.18</v>
      </c>
      <c r="M69">
        <v>21241.78</v>
      </c>
      <c r="N69">
        <v>8</v>
      </c>
      <c r="O69">
        <f>Orders[[#This Row],[Actual_Ship_Date]]-Orders[[#This Row],[Expected_Ship_Date]]</f>
        <v>0</v>
      </c>
    </row>
    <row r="70" spans="1:15" x14ac:dyDescent="0.25">
      <c r="A70" t="s">
        <v>115</v>
      </c>
      <c r="B70" t="s">
        <v>53</v>
      </c>
      <c r="C70" t="s">
        <v>30</v>
      </c>
      <c r="D70" t="s">
        <v>39</v>
      </c>
      <c r="E70" t="s">
        <v>31</v>
      </c>
      <c r="F70" s="1">
        <v>45724</v>
      </c>
      <c r="G70" s="1">
        <v>45730</v>
      </c>
      <c r="H70" s="1">
        <v>45730</v>
      </c>
      <c r="I70" s="1">
        <v>45732</v>
      </c>
      <c r="J70" t="s">
        <v>36</v>
      </c>
      <c r="K70">
        <v>199</v>
      </c>
      <c r="L70">
        <v>215.67</v>
      </c>
      <c r="M70">
        <v>42918.33</v>
      </c>
      <c r="N70">
        <v>6</v>
      </c>
      <c r="O70">
        <f>Orders[[#This Row],[Actual_Ship_Date]]-Orders[[#This Row],[Expected_Ship_Date]]</f>
        <v>0</v>
      </c>
    </row>
    <row r="71" spans="1:15" x14ac:dyDescent="0.25">
      <c r="A71" t="s">
        <v>116</v>
      </c>
      <c r="B71" t="s">
        <v>15</v>
      </c>
      <c r="C71" t="s">
        <v>46</v>
      </c>
      <c r="D71" t="s">
        <v>39</v>
      </c>
      <c r="E71" t="s">
        <v>40</v>
      </c>
      <c r="F71" s="1">
        <v>45669</v>
      </c>
      <c r="G71" s="1">
        <v>45676</v>
      </c>
      <c r="H71" s="1">
        <v>45676</v>
      </c>
      <c r="I71" s="1">
        <v>45680</v>
      </c>
      <c r="J71" t="s">
        <v>19</v>
      </c>
      <c r="K71">
        <v>153</v>
      </c>
      <c r="L71">
        <v>323.13</v>
      </c>
      <c r="M71">
        <v>49438.89</v>
      </c>
      <c r="N71">
        <v>7</v>
      </c>
      <c r="O71">
        <f>Orders[[#This Row],[Actual_Ship_Date]]-Orders[[#This Row],[Expected_Ship_Date]]</f>
        <v>0</v>
      </c>
    </row>
    <row r="72" spans="1:15" x14ac:dyDescent="0.25">
      <c r="A72" t="s">
        <v>117</v>
      </c>
      <c r="B72" t="s">
        <v>45</v>
      </c>
      <c r="C72" t="s">
        <v>46</v>
      </c>
      <c r="D72" t="s">
        <v>35</v>
      </c>
      <c r="E72" t="s">
        <v>40</v>
      </c>
      <c r="F72" s="1">
        <v>45728</v>
      </c>
      <c r="G72" s="1">
        <v>45736</v>
      </c>
      <c r="H72" s="1">
        <v>45736</v>
      </c>
      <c r="I72" s="1">
        <v>45740</v>
      </c>
      <c r="J72" t="s">
        <v>36</v>
      </c>
      <c r="K72">
        <v>64</v>
      </c>
      <c r="L72">
        <v>115.75</v>
      </c>
      <c r="M72">
        <v>7408</v>
      </c>
      <c r="N72">
        <v>8</v>
      </c>
      <c r="O72">
        <f>Orders[[#This Row],[Actual_Ship_Date]]-Orders[[#This Row],[Expected_Ship_Date]]</f>
        <v>0</v>
      </c>
    </row>
    <row r="73" spans="1:15" x14ac:dyDescent="0.25">
      <c r="A73" t="s">
        <v>118</v>
      </c>
      <c r="B73" t="s">
        <v>48</v>
      </c>
      <c r="C73" t="s">
        <v>25</v>
      </c>
      <c r="D73" t="s">
        <v>35</v>
      </c>
      <c r="E73" t="s">
        <v>26</v>
      </c>
      <c r="F73" s="1">
        <v>45726</v>
      </c>
      <c r="G73" s="1">
        <v>45741</v>
      </c>
      <c r="H73" s="1">
        <v>45744</v>
      </c>
      <c r="I73" s="1">
        <v>45746</v>
      </c>
      <c r="J73" t="s">
        <v>32</v>
      </c>
      <c r="K73">
        <v>194</v>
      </c>
      <c r="L73">
        <v>419.31</v>
      </c>
      <c r="M73">
        <v>81346.14</v>
      </c>
      <c r="N73">
        <v>18</v>
      </c>
      <c r="O73">
        <f>Orders[[#This Row],[Actual_Ship_Date]]-Orders[[#This Row],[Expected_Ship_Date]]</f>
        <v>3</v>
      </c>
    </row>
    <row r="74" spans="1:15" x14ac:dyDescent="0.25">
      <c r="A74" t="s">
        <v>119</v>
      </c>
      <c r="B74" t="s">
        <v>29</v>
      </c>
      <c r="C74" t="s">
        <v>51</v>
      </c>
      <c r="D74" t="s">
        <v>17</v>
      </c>
      <c r="E74" t="s">
        <v>57</v>
      </c>
      <c r="F74" s="1">
        <v>45695</v>
      </c>
      <c r="G74" s="1">
        <v>45701</v>
      </c>
      <c r="H74" s="1">
        <v>45701</v>
      </c>
      <c r="I74" s="1">
        <v>45703</v>
      </c>
      <c r="J74" t="s">
        <v>32</v>
      </c>
      <c r="K74">
        <v>141</v>
      </c>
      <c r="L74">
        <v>120.7</v>
      </c>
      <c r="M74">
        <v>17018.7</v>
      </c>
      <c r="N74">
        <v>6</v>
      </c>
      <c r="O74">
        <f>Orders[[#This Row],[Actual_Ship_Date]]-Orders[[#This Row],[Expected_Ship_Date]]</f>
        <v>0</v>
      </c>
    </row>
    <row r="75" spans="1:15" x14ac:dyDescent="0.25">
      <c r="A75" t="s">
        <v>120</v>
      </c>
      <c r="B75" t="s">
        <v>53</v>
      </c>
      <c r="C75" t="s">
        <v>30</v>
      </c>
      <c r="D75" t="s">
        <v>39</v>
      </c>
      <c r="E75" t="s">
        <v>57</v>
      </c>
      <c r="F75" s="1">
        <v>45747</v>
      </c>
      <c r="G75" s="1">
        <v>45752</v>
      </c>
      <c r="H75" s="1">
        <v>45755</v>
      </c>
      <c r="I75" s="1">
        <v>45759</v>
      </c>
      <c r="J75" t="s">
        <v>32</v>
      </c>
      <c r="K75">
        <v>8</v>
      </c>
      <c r="L75">
        <v>494.34</v>
      </c>
      <c r="M75">
        <v>3954.72</v>
      </c>
      <c r="N75">
        <v>8</v>
      </c>
      <c r="O75">
        <f>Orders[[#This Row],[Actual_Ship_Date]]-Orders[[#This Row],[Expected_Ship_Date]]</f>
        <v>3</v>
      </c>
    </row>
    <row r="76" spans="1:15" x14ac:dyDescent="0.25">
      <c r="A76" t="s">
        <v>121</v>
      </c>
      <c r="B76" t="s">
        <v>48</v>
      </c>
      <c r="C76" t="s">
        <v>51</v>
      </c>
      <c r="D76" t="s">
        <v>22</v>
      </c>
      <c r="E76" t="s">
        <v>26</v>
      </c>
      <c r="F76" s="1">
        <v>45681</v>
      </c>
      <c r="G76" s="1">
        <v>45684</v>
      </c>
      <c r="H76" s="1">
        <v>45684</v>
      </c>
      <c r="I76" s="1">
        <v>45688</v>
      </c>
      <c r="J76" t="s">
        <v>19</v>
      </c>
      <c r="K76">
        <v>107</v>
      </c>
      <c r="L76">
        <v>425.61</v>
      </c>
      <c r="M76">
        <v>45540.27</v>
      </c>
      <c r="N76">
        <v>3</v>
      </c>
      <c r="O76">
        <f>Orders[[#This Row],[Actual_Ship_Date]]-Orders[[#This Row],[Expected_Ship_Date]]</f>
        <v>0</v>
      </c>
    </row>
    <row r="77" spans="1:15" x14ac:dyDescent="0.25">
      <c r="A77" t="s">
        <v>122</v>
      </c>
      <c r="B77" t="s">
        <v>48</v>
      </c>
      <c r="C77" t="s">
        <v>34</v>
      </c>
      <c r="D77" t="s">
        <v>17</v>
      </c>
      <c r="E77" t="s">
        <v>18</v>
      </c>
      <c r="F77" s="1">
        <v>45761</v>
      </c>
      <c r="G77" s="1">
        <v>45773</v>
      </c>
      <c r="H77" s="1">
        <v>45773</v>
      </c>
      <c r="I77" s="1">
        <v>45774</v>
      </c>
      <c r="J77" t="s">
        <v>32</v>
      </c>
      <c r="K77">
        <v>200</v>
      </c>
      <c r="L77">
        <v>362.51</v>
      </c>
      <c r="M77">
        <v>72502</v>
      </c>
      <c r="N77">
        <v>12</v>
      </c>
      <c r="O77">
        <f>Orders[[#This Row],[Actual_Ship_Date]]-Orders[[#This Row],[Expected_Ship_Date]]</f>
        <v>0</v>
      </c>
    </row>
    <row r="78" spans="1:15" x14ac:dyDescent="0.25">
      <c r="A78" t="s">
        <v>123</v>
      </c>
      <c r="B78" t="s">
        <v>42</v>
      </c>
      <c r="C78" t="s">
        <v>34</v>
      </c>
      <c r="D78" t="s">
        <v>22</v>
      </c>
      <c r="E78" t="s">
        <v>57</v>
      </c>
      <c r="F78" s="1">
        <v>45715</v>
      </c>
      <c r="G78" s="1">
        <v>45725</v>
      </c>
      <c r="H78" s="1">
        <v>45725</v>
      </c>
      <c r="I78" s="1">
        <v>45730</v>
      </c>
      <c r="J78" t="s">
        <v>36</v>
      </c>
      <c r="K78">
        <v>163</v>
      </c>
      <c r="L78">
        <v>65.290000000000006</v>
      </c>
      <c r="M78">
        <v>10642.27</v>
      </c>
      <c r="N78">
        <v>10</v>
      </c>
      <c r="O78">
        <f>Orders[[#This Row],[Actual_Ship_Date]]-Orders[[#This Row],[Expected_Ship_Date]]</f>
        <v>0</v>
      </c>
    </row>
    <row r="79" spans="1:15" x14ac:dyDescent="0.25">
      <c r="A79" t="s">
        <v>124</v>
      </c>
      <c r="B79" t="s">
        <v>53</v>
      </c>
      <c r="C79" t="s">
        <v>30</v>
      </c>
      <c r="D79" t="s">
        <v>59</v>
      </c>
      <c r="E79" t="s">
        <v>31</v>
      </c>
      <c r="F79" s="1">
        <v>45742</v>
      </c>
      <c r="G79" s="1">
        <v>45746</v>
      </c>
      <c r="H79" s="1">
        <v>45746</v>
      </c>
      <c r="I79" s="1">
        <v>45748</v>
      </c>
      <c r="J79" t="s">
        <v>19</v>
      </c>
      <c r="K79">
        <v>45</v>
      </c>
      <c r="L79">
        <v>17.23</v>
      </c>
      <c r="M79">
        <v>775.35</v>
      </c>
      <c r="N79">
        <v>4</v>
      </c>
      <c r="O79">
        <f>Orders[[#This Row],[Actual_Ship_Date]]-Orders[[#This Row],[Expected_Ship_Date]]</f>
        <v>0</v>
      </c>
    </row>
    <row r="80" spans="1:15" x14ac:dyDescent="0.25">
      <c r="A80" t="s">
        <v>125</v>
      </c>
      <c r="B80" t="s">
        <v>45</v>
      </c>
      <c r="C80" t="s">
        <v>25</v>
      </c>
      <c r="D80" t="s">
        <v>17</v>
      </c>
      <c r="E80" t="s">
        <v>40</v>
      </c>
      <c r="F80" s="1">
        <v>45687</v>
      </c>
      <c r="G80" s="1">
        <v>45694</v>
      </c>
      <c r="H80" s="1">
        <v>45697</v>
      </c>
      <c r="I80" s="1">
        <v>45700</v>
      </c>
      <c r="J80" t="s">
        <v>27</v>
      </c>
      <c r="K80">
        <v>121</v>
      </c>
      <c r="L80">
        <v>74.44</v>
      </c>
      <c r="M80">
        <v>9007.24</v>
      </c>
      <c r="N80">
        <v>10</v>
      </c>
      <c r="O80">
        <f>Orders[[#This Row],[Actual_Ship_Date]]-Orders[[#This Row],[Expected_Ship_Date]]</f>
        <v>3</v>
      </c>
    </row>
    <row r="81" spans="1:15" x14ac:dyDescent="0.25">
      <c r="A81" t="s">
        <v>126</v>
      </c>
      <c r="B81" t="s">
        <v>56</v>
      </c>
      <c r="C81" t="s">
        <v>43</v>
      </c>
      <c r="D81" t="s">
        <v>35</v>
      </c>
      <c r="E81" t="s">
        <v>31</v>
      </c>
      <c r="F81" s="1">
        <v>45760</v>
      </c>
      <c r="G81" s="1">
        <v>45766</v>
      </c>
      <c r="H81" s="1">
        <v>45767</v>
      </c>
      <c r="I81" s="1">
        <v>45768</v>
      </c>
      <c r="J81" t="s">
        <v>27</v>
      </c>
      <c r="K81">
        <v>170</v>
      </c>
      <c r="L81">
        <v>139.41</v>
      </c>
      <c r="M81">
        <v>23699.7</v>
      </c>
      <c r="N81">
        <v>7</v>
      </c>
      <c r="O81">
        <f>Orders[[#This Row],[Actual_Ship_Date]]-Orders[[#This Row],[Expected_Ship_Date]]</f>
        <v>1</v>
      </c>
    </row>
    <row r="82" spans="1:15" x14ac:dyDescent="0.25">
      <c r="A82" t="s">
        <v>127</v>
      </c>
      <c r="B82" t="s">
        <v>38</v>
      </c>
      <c r="C82" t="s">
        <v>25</v>
      </c>
      <c r="D82" t="s">
        <v>17</v>
      </c>
      <c r="E82" t="s">
        <v>63</v>
      </c>
      <c r="F82" s="1">
        <v>45679</v>
      </c>
      <c r="G82" s="1">
        <v>45694</v>
      </c>
      <c r="H82" s="1">
        <v>45694</v>
      </c>
      <c r="I82" s="1">
        <v>45699</v>
      </c>
      <c r="J82" t="s">
        <v>36</v>
      </c>
      <c r="K82">
        <v>124</v>
      </c>
      <c r="L82">
        <v>590.04999999999995</v>
      </c>
      <c r="M82">
        <v>73166.2</v>
      </c>
      <c r="N82">
        <v>15</v>
      </c>
      <c r="O82">
        <f>Orders[[#This Row],[Actual_Ship_Date]]-Orders[[#This Row],[Expected_Ship_Date]]</f>
        <v>0</v>
      </c>
    </row>
    <row r="83" spans="1:15" x14ac:dyDescent="0.25">
      <c r="A83" t="s">
        <v>128</v>
      </c>
      <c r="B83" t="s">
        <v>56</v>
      </c>
      <c r="C83" t="s">
        <v>51</v>
      </c>
      <c r="D83" t="s">
        <v>35</v>
      </c>
      <c r="E83" t="s">
        <v>26</v>
      </c>
      <c r="F83" s="1">
        <v>45721</v>
      </c>
      <c r="G83" s="1">
        <v>45731</v>
      </c>
      <c r="H83" s="1">
        <v>45731</v>
      </c>
      <c r="I83" s="1">
        <v>45736</v>
      </c>
      <c r="J83" t="s">
        <v>19</v>
      </c>
      <c r="K83">
        <v>193</v>
      </c>
      <c r="L83">
        <v>284.14</v>
      </c>
      <c r="M83">
        <v>54839.02</v>
      </c>
      <c r="N83">
        <v>10</v>
      </c>
      <c r="O83">
        <f>Orders[[#This Row],[Actual_Ship_Date]]-Orders[[#This Row],[Expected_Ship_Date]]</f>
        <v>0</v>
      </c>
    </row>
    <row r="84" spans="1:15" x14ac:dyDescent="0.25">
      <c r="A84" t="s">
        <v>129</v>
      </c>
      <c r="B84" t="s">
        <v>48</v>
      </c>
      <c r="C84" t="s">
        <v>51</v>
      </c>
      <c r="D84" t="s">
        <v>22</v>
      </c>
      <c r="E84" t="s">
        <v>18</v>
      </c>
      <c r="F84" s="1">
        <v>45744</v>
      </c>
      <c r="G84" s="1">
        <v>45756</v>
      </c>
      <c r="H84" s="1">
        <v>45758</v>
      </c>
      <c r="I84" s="1">
        <v>45759</v>
      </c>
      <c r="J84" t="s">
        <v>27</v>
      </c>
      <c r="K84">
        <v>177</v>
      </c>
      <c r="L84">
        <v>700.89</v>
      </c>
      <c r="M84">
        <v>124057.53</v>
      </c>
      <c r="N84">
        <v>14</v>
      </c>
      <c r="O84">
        <f>Orders[[#This Row],[Actual_Ship_Date]]-Orders[[#This Row],[Expected_Ship_Date]]</f>
        <v>2</v>
      </c>
    </row>
    <row r="85" spans="1:15" x14ac:dyDescent="0.25">
      <c r="A85" t="s">
        <v>130</v>
      </c>
      <c r="B85" t="s">
        <v>53</v>
      </c>
      <c r="C85" t="s">
        <v>16</v>
      </c>
      <c r="D85" t="s">
        <v>39</v>
      </c>
      <c r="E85" t="s">
        <v>57</v>
      </c>
      <c r="F85" s="1">
        <v>45724</v>
      </c>
      <c r="G85" s="1">
        <v>45737</v>
      </c>
      <c r="H85" s="1">
        <v>45738</v>
      </c>
      <c r="I85" s="1">
        <v>45741</v>
      </c>
      <c r="J85" t="s">
        <v>32</v>
      </c>
      <c r="K85">
        <v>154</v>
      </c>
      <c r="L85">
        <v>378.96</v>
      </c>
      <c r="M85">
        <v>58359.839999999997</v>
      </c>
      <c r="N85">
        <v>14</v>
      </c>
      <c r="O85">
        <f>Orders[[#This Row],[Actual_Ship_Date]]-Orders[[#This Row],[Expected_Ship_Date]]</f>
        <v>1</v>
      </c>
    </row>
    <row r="86" spans="1:15" x14ac:dyDescent="0.25">
      <c r="A86" t="s">
        <v>131</v>
      </c>
      <c r="B86" t="s">
        <v>38</v>
      </c>
      <c r="C86" t="s">
        <v>51</v>
      </c>
      <c r="D86" t="s">
        <v>39</v>
      </c>
      <c r="E86" t="s">
        <v>31</v>
      </c>
      <c r="F86" s="1">
        <v>45710</v>
      </c>
      <c r="G86" s="1">
        <v>45718</v>
      </c>
      <c r="H86" s="1">
        <v>45718</v>
      </c>
      <c r="I86" s="1">
        <v>45719</v>
      </c>
      <c r="J86" t="s">
        <v>19</v>
      </c>
      <c r="K86">
        <v>182</v>
      </c>
      <c r="L86">
        <v>428.72</v>
      </c>
      <c r="M86">
        <v>78027.039999999994</v>
      </c>
      <c r="N86">
        <v>8</v>
      </c>
      <c r="O86">
        <f>Orders[[#This Row],[Actual_Ship_Date]]-Orders[[#This Row],[Expected_Ship_Date]]</f>
        <v>0</v>
      </c>
    </row>
    <row r="87" spans="1:15" x14ac:dyDescent="0.25">
      <c r="A87" t="s">
        <v>132</v>
      </c>
      <c r="B87" t="s">
        <v>15</v>
      </c>
      <c r="C87" t="s">
        <v>30</v>
      </c>
      <c r="D87" t="s">
        <v>39</v>
      </c>
      <c r="E87" t="s">
        <v>31</v>
      </c>
      <c r="F87" s="1">
        <v>45698</v>
      </c>
      <c r="G87" s="1">
        <v>45705</v>
      </c>
      <c r="H87" s="1">
        <v>45705</v>
      </c>
      <c r="I87" s="1">
        <v>45706</v>
      </c>
      <c r="J87" t="s">
        <v>36</v>
      </c>
      <c r="K87">
        <v>5</v>
      </c>
      <c r="L87">
        <v>564.15</v>
      </c>
      <c r="M87">
        <v>2820.75</v>
      </c>
      <c r="N87">
        <v>7</v>
      </c>
      <c r="O87">
        <f>Orders[[#This Row],[Actual_Ship_Date]]-Orders[[#This Row],[Expected_Ship_Date]]</f>
        <v>0</v>
      </c>
    </row>
    <row r="88" spans="1:15" x14ac:dyDescent="0.25">
      <c r="A88" t="s">
        <v>133</v>
      </c>
      <c r="B88" t="s">
        <v>56</v>
      </c>
      <c r="C88" t="s">
        <v>43</v>
      </c>
      <c r="D88" t="s">
        <v>59</v>
      </c>
      <c r="E88" t="s">
        <v>18</v>
      </c>
      <c r="F88" s="1">
        <v>45682</v>
      </c>
      <c r="G88" s="1">
        <v>45693</v>
      </c>
      <c r="H88" s="1">
        <v>45693</v>
      </c>
      <c r="I88" s="1">
        <v>45698</v>
      </c>
      <c r="J88" t="s">
        <v>36</v>
      </c>
      <c r="K88">
        <v>199</v>
      </c>
      <c r="L88">
        <v>58.1</v>
      </c>
      <c r="M88">
        <v>11561.9</v>
      </c>
      <c r="N88">
        <v>11</v>
      </c>
      <c r="O88">
        <f>Orders[[#This Row],[Actual_Ship_Date]]-Orders[[#This Row],[Expected_Ship_Date]]</f>
        <v>0</v>
      </c>
    </row>
    <row r="89" spans="1:15" x14ac:dyDescent="0.25">
      <c r="A89" t="s">
        <v>134</v>
      </c>
      <c r="B89" t="s">
        <v>45</v>
      </c>
      <c r="C89" t="s">
        <v>43</v>
      </c>
      <c r="D89" t="s">
        <v>59</v>
      </c>
      <c r="E89" t="s">
        <v>63</v>
      </c>
      <c r="F89" s="1">
        <v>45770</v>
      </c>
      <c r="G89" s="1">
        <v>45784</v>
      </c>
      <c r="H89" s="1">
        <v>45785</v>
      </c>
      <c r="I89" s="1">
        <v>45786</v>
      </c>
      <c r="J89" t="s">
        <v>32</v>
      </c>
      <c r="K89">
        <v>166</v>
      </c>
      <c r="L89">
        <v>523.41</v>
      </c>
      <c r="M89">
        <v>86886.06</v>
      </c>
      <c r="N89">
        <v>15</v>
      </c>
      <c r="O89">
        <f>Orders[[#This Row],[Actual_Ship_Date]]-Orders[[#This Row],[Expected_Ship_Date]]</f>
        <v>1</v>
      </c>
    </row>
    <row r="90" spans="1:15" x14ac:dyDescent="0.25">
      <c r="A90" t="s">
        <v>135</v>
      </c>
      <c r="B90" t="s">
        <v>42</v>
      </c>
      <c r="C90" t="s">
        <v>43</v>
      </c>
      <c r="D90" t="s">
        <v>39</v>
      </c>
      <c r="E90" t="s">
        <v>40</v>
      </c>
      <c r="F90" s="1">
        <v>45659</v>
      </c>
      <c r="G90" s="1">
        <v>45670</v>
      </c>
      <c r="H90" s="1">
        <v>45671</v>
      </c>
      <c r="I90" s="1">
        <v>45672</v>
      </c>
      <c r="J90" t="s">
        <v>27</v>
      </c>
      <c r="K90">
        <v>34</v>
      </c>
      <c r="L90">
        <v>400.31</v>
      </c>
      <c r="M90">
        <v>13610.54</v>
      </c>
      <c r="N90">
        <v>12</v>
      </c>
      <c r="O90">
        <f>Orders[[#This Row],[Actual_Ship_Date]]-Orders[[#This Row],[Expected_Ship_Date]]</f>
        <v>1</v>
      </c>
    </row>
    <row r="91" spans="1:15" x14ac:dyDescent="0.25">
      <c r="A91" t="s">
        <v>136</v>
      </c>
      <c r="B91" t="s">
        <v>45</v>
      </c>
      <c r="C91" t="s">
        <v>30</v>
      </c>
      <c r="D91" t="s">
        <v>17</v>
      </c>
      <c r="E91" t="s">
        <v>26</v>
      </c>
      <c r="F91" s="1">
        <v>45695</v>
      </c>
      <c r="G91" s="1">
        <v>45706</v>
      </c>
      <c r="H91" s="1">
        <v>45709</v>
      </c>
      <c r="I91" s="1">
        <v>45712</v>
      </c>
      <c r="J91" t="s">
        <v>27</v>
      </c>
      <c r="K91">
        <v>128</v>
      </c>
      <c r="L91">
        <v>833.5</v>
      </c>
      <c r="M91">
        <v>106688</v>
      </c>
      <c r="N91">
        <v>14</v>
      </c>
      <c r="O91">
        <f>Orders[[#This Row],[Actual_Ship_Date]]-Orders[[#This Row],[Expected_Ship_Date]]</f>
        <v>3</v>
      </c>
    </row>
    <row r="92" spans="1:15" x14ac:dyDescent="0.25">
      <c r="A92" t="s">
        <v>137</v>
      </c>
      <c r="B92" t="s">
        <v>56</v>
      </c>
      <c r="C92" t="s">
        <v>21</v>
      </c>
      <c r="D92" t="s">
        <v>59</v>
      </c>
      <c r="E92" t="s">
        <v>63</v>
      </c>
      <c r="F92" s="1">
        <v>45707</v>
      </c>
      <c r="G92" s="1">
        <v>45713</v>
      </c>
      <c r="H92" s="1">
        <v>45715</v>
      </c>
      <c r="I92" s="1">
        <v>45720</v>
      </c>
      <c r="J92" t="s">
        <v>27</v>
      </c>
      <c r="K92">
        <v>39</v>
      </c>
      <c r="L92">
        <v>736.46</v>
      </c>
      <c r="M92">
        <v>28721.94</v>
      </c>
      <c r="N92">
        <v>8</v>
      </c>
      <c r="O92">
        <f>Orders[[#This Row],[Actual_Ship_Date]]-Orders[[#This Row],[Expected_Ship_Date]]</f>
        <v>2</v>
      </c>
    </row>
    <row r="93" spans="1:15" x14ac:dyDescent="0.25">
      <c r="A93" t="s">
        <v>138</v>
      </c>
      <c r="B93" t="s">
        <v>24</v>
      </c>
      <c r="C93" t="s">
        <v>46</v>
      </c>
      <c r="D93" t="s">
        <v>17</v>
      </c>
      <c r="E93" t="s">
        <v>63</v>
      </c>
      <c r="F93" s="1">
        <v>45692</v>
      </c>
      <c r="G93" s="1">
        <v>45695</v>
      </c>
      <c r="H93" s="1">
        <v>45695</v>
      </c>
      <c r="I93" s="1">
        <v>45698</v>
      </c>
      <c r="J93" t="s">
        <v>36</v>
      </c>
      <c r="K93">
        <v>119</v>
      </c>
      <c r="L93">
        <v>464.71</v>
      </c>
      <c r="M93">
        <v>55300.49</v>
      </c>
      <c r="N93">
        <v>3</v>
      </c>
      <c r="O93">
        <f>Orders[[#This Row],[Actual_Ship_Date]]-Orders[[#This Row],[Expected_Ship_Date]]</f>
        <v>0</v>
      </c>
    </row>
    <row r="94" spans="1:15" x14ac:dyDescent="0.25">
      <c r="A94" t="s">
        <v>139</v>
      </c>
      <c r="B94" t="s">
        <v>38</v>
      </c>
      <c r="C94" t="s">
        <v>51</v>
      </c>
      <c r="D94" t="s">
        <v>59</v>
      </c>
      <c r="E94" t="s">
        <v>40</v>
      </c>
      <c r="F94" s="1">
        <v>45706</v>
      </c>
      <c r="G94" s="1">
        <v>45716</v>
      </c>
      <c r="H94" s="1">
        <v>45716</v>
      </c>
      <c r="I94" s="1">
        <v>45718</v>
      </c>
      <c r="J94" t="s">
        <v>19</v>
      </c>
      <c r="K94">
        <v>64</v>
      </c>
      <c r="L94">
        <v>729.77</v>
      </c>
      <c r="M94">
        <v>46705.279999999999</v>
      </c>
      <c r="N94">
        <v>10</v>
      </c>
      <c r="O94">
        <f>Orders[[#This Row],[Actual_Ship_Date]]-Orders[[#This Row],[Expected_Ship_Date]]</f>
        <v>0</v>
      </c>
    </row>
    <row r="95" spans="1:15" x14ac:dyDescent="0.25">
      <c r="A95" t="s">
        <v>140</v>
      </c>
      <c r="B95" t="s">
        <v>78</v>
      </c>
      <c r="C95" t="s">
        <v>30</v>
      </c>
      <c r="D95" t="s">
        <v>35</v>
      </c>
      <c r="E95" t="s">
        <v>26</v>
      </c>
      <c r="F95" s="1">
        <v>45718</v>
      </c>
      <c r="G95" s="1">
        <v>45732</v>
      </c>
      <c r="H95" s="1">
        <v>45737</v>
      </c>
      <c r="I95" s="1">
        <v>45741</v>
      </c>
      <c r="J95" t="s">
        <v>27</v>
      </c>
      <c r="K95">
        <v>174</v>
      </c>
      <c r="L95">
        <v>676.65</v>
      </c>
      <c r="M95">
        <v>117737.1</v>
      </c>
      <c r="N95">
        <v>19</v>
      </c>
      <c r="O95">
        <f>Orders[[#This Row],[Actual_Ship_Date]]-Orders[[#This Row],[Expected_Ship_Date]]</f>
        <v>5</v>
      </c>
    </row>
    <row r="96" spans="1:15" x14ac:dyDescent="0.25">
      <c r="A96" t="s">
        <v>141</v>
      </c>
      <c r="B96" t="s">
        <v>78</v>
      </c>
      <c r="C96" t="s">
        <v>21</v>
      </c>
      <c r="D96" t="s">
        <v>22</v>
      </c>
      <c r="E96" t="s">
        <v>31</v>
      </c>
      <c r="F96" s="1">
        <v>45722</v>
      </c>
      <c r="G96" s="1">
        <v>45734</v>
      </c>
      <c r="H96" s="1">
        <v>45734</v>
      </c>
      <c r="I96" s="1">
        <v>45735</v>
      </c>
      <c r="J96" t="s">
        <v>32</v>
      </c>
      <c r="K96">
        <v>121</v>
      </c>
      <c r="L96">
        <v>27.82</v>
      </c>
      <c r="M96">
        <v>3366.22</v>
      </c>
      <c r="N96">
        <v>12</v>
      </c>
      <c r="O96">
        <f>Orders[[#This Row],[Actual_Ship_Date]]-Orders[[#This Row],[Expected_Ship_Date]]</f>
        <v>0</v>
      </c>
    </row>
    <row r="97" spans="1:15" x14ac:dyDescent="0.25">
      <c r="A97" t="s">
        <v>142</v>
      </c>
      <c r="B97" t="s">
        <v>15</v>
      </c>
      <c r="C97" t="s">
        <v>21</v>
      </c>
      <c r="D97" t="s">
        <v>59</v>
      </c>
      <c r="E97" t="s">
        <v>40</v>
      </c>
      <c r="F97" s="1">
        <v>45718</v>
      </c>
      <c r="G97" s="1">
        <v>45733</v>
      </c>
      <c r="H97" s="1">
        <v>45733</v>
      </c>
      <c r="I97" s="1">
        <v>45736</v>
      </c>
      <c r="J97" t="s">
        <v>36</v>
      </c>
      <c r="K97">
        <v>89</v>
      </c>
      <c r="L97">
        <v>726.71</v>
      </c>
      <c r="M97">
        <v>64677.19</v>
      </c>
      <c r="N97">
        <v>15</v>
      </c>
      <c r="O97">
        <f>Orders[[#This Row],[Actual_Ship_Date]]-Orders[[#This Row],[Expected_Ship_Date]]</f>
        <v>0</v>
      </c>
    </row>
    <row r="98" spans="1:15" x14ac:dyDescent="0.25">
      <c r="A98" t="s">
        <v>143</v>
      </c>
      <c r="B98" t="s">
        <v>56</v>
      </c>
      <c r="C98" t="s">
        <v>34</v>
      </c>
      <c r="D98" t="s">
        <v>35</v>
      </c>
      <c r="E98" t="s">
        <v>18</v>
      </c>
      <c r="F98" s="1">
        <v>45749</v>
      </c>
      <c r="G98" s="1">
        <v>45764</v>
      </c>
      <c r="H98" s="1">
        <v>45765</v>
      </c>
      <c r="I98" s="1">
        <v>45770</v>
      </c>
      <c r="J98" t="s">
        <v>32</v>
      </c>
      <c r="K98">
        <v>22</v>
      </c>
      <c r="L98">
        <v>211.03</v>
      </c>
      <c r="M98">
        <v>4642.66</v>
      </c>
      <c r="N98">
        <v>16</v>
      </c>
      <c r="O98">
        <f>Orders[[#This Row],[Actual_Ship_Date]]-Orders[[#This Row],[Expected_Ship_Date]]</f>
        <v>1</v>
      </c>
    </row>
    <row r="99" spans="1:15" x14ac:dyDescent="0.25">
      <c r="A99" t="s">
        <v>144</v>
      </c>
      <c r="B99" t="s">
        <v>29</v>
      </c>
      <c r="C99" t="s">
        <v>51</v>
      </c>
      <c r="D99" t="s">
        <v>59</v>
      </c>
      <c r="E99" t="s">
        <v>31</v>
      </c>
      <c r="F99" s="1">
        <v>45670</v>
      </c>
      <c r="G99" s="1">
        <v>45685</v>
      </c>
      <c r="H99" s="1">
        <v>45688</v>
      </c>
      <c r="I99" s="1">
        <v>45689</v>
      </c>
      <c r="J99" t="s">
        <v>27</v>
      </c>
      <c r="K99">
        <v>182</v>
      </c>
      <c r="L99">
        <v>265.05</v>
      </c>
      <c r="M99">
        <v>48239.1</v>
      </c>
      <c r="N99">
        <v>18</v>
      </c>
      <c r="O99">
        <f>Orders[[#This Row],[Actual_Ship_Date]]-Orders[[#This Row],[Expected_Ship_Date]]</f>
        <v>3</v>
      </c>
    </row>
    <row r="100" spans="1:15" x14ac:dyDescent="0.25">
      <c r="A100" t="s">
        <v>145</v>
      </c>
      <c r="B100" t="s">
        <v>78</v>
      </c>
      <c r="C100" t="s">
        <v>43</v>
      </c>
      <c r="D100" t="s">
        <v>22</v>
      </c>
      <c r="E100" t="s">
        <v>31</v>
      </c>
      <c r="F100" s="1">
        <v>45695</v>
      </c>
      <c r="G100" s="1">
        <v>45703</v>
      </c>
      <c r="H100" s="1">
        <v>45703</v>
      </c>
      <c r="I100" s="1">
        <v>45707</v>
      </c>
      <c r="J100" t="s">
        <v>19</v>
      </c>
      <c r="K100">
        <v>110</v>
      </c>
      <c r="L100">
        <v>487.55</v>
      </c>
      <c r="M100">
        <v>53630.5</v>
      </c>
      <c r="N100">
        <v>8</v>
      </c>
      <c r="O100">
        <f>Orders[[#This Row],[Actual_Ship_Date]]-Orders[[#This Row],[Expected_Ship_Date]]</f>
        <v>0</v>
      </c>
    </row>
    <row r="101" spans="1:15" x14ac:dyDescent="0.25">
      <c r="A101" t="s">
        <v>146</v>
      </c>
      <c r="B101" t="s">
        <v>53</v>
      </c>
      <c r="C101" t="s">
        <v>25</v>
      </c>
      <c r="D101" t="s">
        <v>39</v>
      </c>
      <c r="E101" t="s">
        <v>57</v>
      </c>
      <c r="F101" s="1">
        <v>45736</v>
      </c>
      <c r="G101" s="1">
        <v>45745</v>
      </c>
      <c r="H101" s="1">
        <v>45747</v>
      </c>
      <c r="I101" s="1">
        <v>45749</v>
      </c>
      <c r="J101" t="s">
        <v>27</v>
      </c>
      <c r="K101">
        <v>154</v>
      </c>
      <c r="L101">
        <v>134.5</v>
      </c>
      <c r="M101">
        <v>20713</v>
      </c>
      <c r="N101">
        <v>11</v>
      </c>
      <c r="O101">
        <f>Orders[[#This Row],[Actual_Ship_Date]]-Orders[[#This Row],[Expected_Ship_Date]]</f>
        <v>2</v>
      </c>
    </row>
    <row r="102" spans="1:15" x14ac:dyDescent="0.25">
      <c r="A102" t="s">
        <v>147</v>
      </c>
      <c r="B102" t="s">
        <v>42</v>
      </c>
      <c r="C102" t="s">
        <v>30</v>
      </c>
      <c r="D102" t="s">
        <v>59</v>
      </c>
      <c r="E102" t="s">
        <v>63</v>
      </c>
      <c r="F102" s="1">
        <v>45743</v>
      </c>
      <c r="G102" s="1">
        <v>45746</v>
      </c>
      <c r="H102" s="1">
        <v>45751</v>
      </c>
      <c r="I102" s="1">
        <v>45755</v>
      </c>
      <c r="J102" t="s">
        <v>27</v>
      </c>
      <c r="K102">
        <v>178</v>
      </c>
      <c r="L102">
        <v>471.41</v>
      </c>
      <c r="M102">
        <v>83910.98</v>
      </c>
      <c r="N102">
        <v>8</v>
      </c>
      <c r="O102">
        <f>Orders[[#This Row],[Actual_Ship_Date]]-Orders[[#This Row],[Expected_Ship_Date]]</f>
        <v>5</v>
      </c>
    </row>
    <row r="103" spans="1:15" x14ac:dyDescent="0.25">
      <c r="A103" t="s">
        <v>148</v>
      </c>
      <c r="B103" t="s">
        <v>38</v>
      </c>
      <c r="C103" t="s">
        <v>30</v>
      </c>
      <c r="D103" t="s">
        <v>35</v>
      </c>
      <c r="E103" t="s">
        <v>26</v>
      </c>
      <c r="F103" s="1">
        <v>45696</v>
      </c>
      <c r="G103" s="1">
        <v>45709</v>
      </c>
      <c r="H103" s="1">
        <v>45710</v>
      </c>
      <c r="I103" s="1">
        <v>45713</v>
      </c>
      <c r="J103" t="s">
        <v>27</v>
      </c>
      <c r="K103">
        <v>82</v>
      </c>
      <c r="L103">
        <v>181.35</v>
      </c>
      <c r="M103">
        <v>14870.7</v>
      </c>
      <c r="N103">
        <v>14</v>
      </c>
      <c r="O103">
        <f>Orders[[#This Row],[Actual_Ship_Date]]-Orders[[#This Row],[Expected_Ship_Date]]</f>
        <v>1</v>
      </c>
    </row>
    <row r="104" spans="1:15" x14ac:dyDescent="0.25">
      <c r="A104" t="s">
        <v>149</v>
      </c>
      <c r="B104" t="s">
        <v>38</v>
      </c>
      <c r="C104" t="s">
        <v>25</v>
      </c>
      <c r="D104" t="s">
        <v>35</v>
      </c>
      <c r="E104" t="s">
        <v>63</v>
      </c>
      <c r="F104" s="1">
        <v>45706</v>
      </c>
      <c r="G104" s="1">
        <v>45718</v>
      </c>
      <c r="H104" s="1">
        <v>45718</v>
      </c>
      <c r="I104" s="1">
        <v>45723</v>
      </c>
      <c r="J104" t="s">
        <v>36</v>
      </c>
      <c r="K104">
        <v>80</v>
      </c>
      <c r="L104">
        <v>33.32</v>
      </c>
      <c r="M104">
        <v>2665.6</v>
      </c>
      <c r="N104">
        <v>12</v>
      </c>
      <c r="O104">
        <f>Orders[[#This Row],[Actual_Ship_Date]]-Orders[[#This Row],[Expected_Ship_Date]]</f>
        <v>0</v>
      </c>
    </row>
    <row r="105" spans="1:15" x14ac:dyDescent="0.25">
      <c r="A105" t="s">
        <v>150</v>
      </c>
      <c r="B105" t="s">
        <v>56</v>
      </c>
      <c r="C105" t="s">
        <v>34</v>
      </c>
      <c r="D105" t="s">
        <v>17</v>
      </c>
      <c r="E105" t="s">
        <v>57</v>
      </c>
      <c r="F105" s="1">
        <v>45768</v>
      </c>
      <c r="G105" s="1">
        <v>45781</v>
      </c>
      <c r="H105" s="1">
        <v>45786</v>
      </c>
      <c r="I105" s="1">
        <v>45787</v>
      </c>
      <c r="J105" t="s">
        <v>27</v>
      </c>
      <c r="K105">
        <v>195</v>
      </c>
      <c r="L105">
        <v>429.77</v>
      </c>
      <c r="M105">
        <v>83805.149999999994</v>
      </c>
      <c r="N105">
        <v>18</v>
      </c>
      <c r="O105">
        <f>Orders[[#This Row],[Actual_Ship_Date]]-Orders[[#This Row],[Expected_Ship_Date]]</f>
        <v>5</v>
      </c>
    </row>
    <row r="106" spans="1:15" x14ac:dyDescent="0.25">
      <c r="A106" t="s">
        <v>151</v>
      </c>
      <c r="B106" t="s">
        <v>78</v>
      </c>
      <c r="C106" t="s">
        <v>16</v>
      </c>
      <c r="D106" t="s">
        <v>35</v>
      </c>
      <c r="E106" t="s">
        <v>57</v>
      </c>
      <c r="F106" s="1">
        <v>45686</v>
      </c>
      <c r="G106" s="1">
        <v>45699</v>
      </c>
      <c r="H106" s="1">
        <v>45699</v>
      </c>
      <c r="I106" s="1">
        <v>45704</v>
      </c>
      <c r="J106" t="s">
        <v>36</v>
      </c>
      <c r="K106">
        <v>189</v>
      </c>
      <c r="L106">
        <v>655.84</v>
      </c>
      <c r="M106">
        <v>123953.76</v>
      </c>
      <c r="N106">
        <v>13</v>
      </c>
      <c r="O106">
        <f>Orders[[#This Row],[Actual_Ship_Date]]-Orders[[#This Row],[Expected_Ship_Date]]</f>
        <v>0</v>
      </c>
    </row>
    <row r="107" spans="1:15" x14ac:dyDescent="0.25">
      <c r="A107" t="s">
        <v>152</v>
      </c>
      <c r="B107" t="s">
        <v>24</v>
      </c>
      <c r="C107" t="s">
        <v>21</v>
      </c>
      <c r="D107" t="s">
        <v>22</v>
      </c>
      <c r="E107" t="s">
        <v>26</v>
      </c>
      <c r="F107" s="1">
        <v>45758</v>
      </c>
      <c r="G107" s="1">
        <v>45768</v>
      </c>
      <c r="H107" s="1">
        <v>45768</v>
      </c>
      <c r="I107" s="1">
        <v>45773</v>
      </c>
      <c r="J107" t="s">
        <v>36</v>
      </c>
      <c r="K107">
        <v>28</v>
      </c>
      <c r="L107">
        <v>774.54</v>
      </c>
      <c r="M107">
        <v>21687.119999999999</v>
      </c>
      <c r="N107">
        <v>10</v>
      </c>
      <c r="O107">
        <f>Orders[[#This Row],[Actual_Ship_Date]]-Orders[[#This Row],[Expected_Ship_Date]]</f>
        <v>0</v>
      </c>
    </row>
    <row r="108" spans="1:15" x14ac:dyDescent="0.25">
      <c r="A108" t="s">
        <v>153</v>
      </c>
      <c r="B108" t="s">
        <v>56</v>
      </c>
      <c r="C108" t="s">
        <v>30</v>
      </c>
      <c r="D108" t="s">
        <v>59</v>
      </c>
      <c r="E108" t="s">
        <v>40</v>
      </c>
      <c r="F108" s="1">
        <v>45674</v>
      </c>
      <c r="G108" s="1">
        <v>45689</v>
      </c>
      <c r="H108" s="1">
        <v>45691</v>
      </c>
      <c r="I108" s="1">
        <v>45694</v>
      </c>
      <c r="J108" t="s">
        <v>27</v>
      </c>
      <c r="K108">
        <v>74</v>
      </c>
      <c r="L108">
        <v>708.44</v>
      </c>
      <c r="M108">
        <v>52424.56</v>
      </c>
      <c r="N108">
        <v>17</v>
      </c>
      <c r="O108">
        <f>Orders[[#This Row],[Actual_Ship_Date]]-Orders[[#This Row],[Expected_Ship_Date]]</f>
        <v>2</v>
      </c>
    </row>
    <row r="109" spans="1:15" x14ac:dyDescent="0.25">
      <c r="A109" t="s">
        <v>154</v>
      </c>
      <c r="B109" t="s">
        <v>45</v>
      </c>
      <c r="C109" t="s">
        <v>21</v>
      </c>
      <c r="D109" t="s">
        <v>17</v>
      </c>
      <c r="E109" t="s">
        <v>57</v>
      </c>
      <c r="F109" s="1">
        <v>45769</v>
      </c>
      <c r="G109" s="1">
        <v>45777</v>
      </c>
      <c r="H109" s="1">
        <v>45782</v>
      </c>
      <c r="I109" s="1">
        <v>45783</v>
      </c>
      <c r="J109" t="s">
        <v>27</v>
      </c>
      <c r="K109">
        <v>24</v>
      </c>
      <c r="L109">
        <v>132.53</v>
      </c>
      <c r="M109">
        <v>3180.72</v>
      </c>
      <c r="N109">
        <v>13</v>
      </c>
      <c r="O109">
        <f>Orders[[#This Row],[Actual_Ship_Date]]-Orders[[#This Row],[Expected_Ship_Date]]</f>
        <v>5</v>
      </c>
    </row>
    <row r="110" spans="1:15" x14ac:dyDescent="0.25">
      <c r="A110" t="s">
        <v>155</v>
      </c>
      <c r="B110" t="s">
        <v>56</v>
      </c>
      <c r="C110" t="s">
        <v>21</v>
      </c>
      <c r="D110" t="s">
        <v>59</v>
      </c>
      <c r="E110" t="s">
        <v>31</v>
      </c>
      <c r="F110" s="1">
        <v>45669</v>
      </c>
      <c r="G110" s="1">
        <v>45684</v>
      </c>
      <c r="H110" s="1">
        <v>45685</v>
      </c>
      <c r="I110" s="1">
        <v>45686</v>
      </c>
      <c r="J110" t="s">
        <v>27</v>
      </c>
      <c r="K110">
        <v>36</v>
      </c>
      <c r="L110">
        <v>394.75</v>
      </c>
      <c r="M110">
        <v>14211</v>
      </c>
      <c r="N110">
        <v>16</v>
      </c>
      <c r="O110">
        <f>Orders[[#This Row],[Actual_Ship_Date]]-Orders[[#This Row],[Expected_Ship_Date]]</f>
        <v>1</v>
      </c>
    </row>
    <row r="111" spans="1:15" x14ac:dyDescent="0.25">
      <c r="A111" t="s">
        <v>156</v>
      </c>
      <c r="B111" t="s">
        <v>48</v>
      </c>
      <c r="C111" t="s">
        <v>34</v>
      </c>
      <c r="D111" t="s">
        <v>35</v>
      </c>
      <c r="E111" t="s">
        <v>40</v>
      </c>
      <c r="F111" s="1">
        <v>45744</v>
      </c>
      <c r="G111" s="1">
        <v>45750</v>
      </c>
      <c r="H111" s="1">
        <v>45751</v>
      </c>
      <c r="I111" s="1">
        <v>45752</v>
      </c>
      <c r="J111" t="s">
        <v>27</v>
      </c>
      <c r="K111">
        <v>148</v>
      </c>
      <c r="L111">
        <v>288.89</v>
      </c>
      <c r="M111">
        <v>42755.72</v>
      </c>
      <c r="N111">
        <v>7</v>
      </c>
      <c r="O111">
        <f>Orders[[#This Row],[Actual_Ship_Date]]-Orders[[#This Row],[Expected_Ship_Date]]</f>
        <v>1</v>
      </c>
    </row>
    <row r="112" spans="1:15" x14ac:dyDescent="0.25">
      <c r="A112" t="s">
        <v>157</v>
      </c>
      <c r="B112" t="s">
        <v>29</v>
      </c>
      <c r="C112" t="s">
        <v>25</v>
      </c>
      <c r="D112" t="s">
        <v>39</v>
      </c>
      <c r="E112" t="s">
        <v>31</v>
      </c>
      <c r="F112" s="1">
        <v>45763</v>
      </c>
      <c r="G112" s="1">
        <v>45773</v>
      </c>
      <c r="H112" s="1">
        <v>45776</v>
      </c>
      <c r="I112" s="1">
        <v>45779</v>
      </c>
      <c r="J112" t="s">
        <v>27</v>
      </c>
      <c r="K112">
        <v>34</v>
      </c>
      <c r="L112">
        <v>131.71</v>
      </c>
      <c r="M112">
        <v>4478.1400000000003</v>
      </c>
      <c r="N112">
        <v>13</v>
      </c>
      <c r="O112">
        <f>Orders[[#This Row],[Actual_Ship_Date]]-Orders[[#This Row],[Expected_Ship_Date]]</f>
        <v>3</v>
      </c>
    </row>
    <row r="113" spans="1:15" x14ac:dyDescent="0.25">
      <c r="A113" t="s">
        <v>158</v>
      </c>
      <c r="B113" t="s">
        <v>15</v>
      </c>
      <c r="C113" t="s">
        <v>21</v>
      </c>
      <c r="D113" t="s">
        <v>17</v>
      </c>
      <c r="E113" t="s">
        <v>40</v>
      </c>
      <c r="F113" s="1">
        <v>45670</v>
      </c>
      <c r="G113" s="1">
        <v>45676</v>
      </c>
      <c r="H113" s="1">
        <v>45678</v>
      </c>
      <c r="I113" s="1">
        <v>45680</v>
      </c>
      <c r="J113" t="s">
        <v>27</v>
      </c>
      <c r="K113">
        <v>99</v>
      </c>
      <c r="L113">
        <v>574.86</v>
      </c>
      <c r="M113">
        <v>56911.14</v>
      </c>
      <c r="N113">
        <v>8</v>
      </c>
      <c r="O113">
        <f>Orders[[#This Row],[Actual_Ship_Date]]-Orders[[#This Row],[Expected_Ship_Date]]</f>
        <v>2</v>
      </c>
    </row>
    <row r="114" spans="1:15" x14ac:dyDescent="0.25">
      <c r="A114" t="s">
        <v>159</v>
      </c>
      <c r="B114" t="s">
        <v>56</v>
      </c>
      <c r="C114" t="s">
        <v>51</v>
      </c>
      <c r="D114" t="s">
        <v>59</v>
      </c>
      <c r="E114" t="s">
        <v>26</v>
      </c>
      <c r="F114" s="1">
        <v>45751</v>
      </c>
      <c r="G114" s="1">
        <v>45756</v>
      </c>
      <c r="H114" s="1">
        <v>45757</v>
      </c>
      <c r="I114" s="1">
        <v>45758</v>
      </c>
      <c r="J114" t="s">
        <v>27</v>
      </c>
      <c r="K114">
        <v>162</v>
      </c>
      <c r="L114">
        <v>355.78</v>
      </c>
      <c r="M114">
        <v>57636.36</v>
      </c>
      <c r="N114">
        <v>6</v>
      </c>
      <c r="O114">
        <f>Orders[[#This Row],[Actual_Ship_Date]]-Orders[[#This Row],[Expected_Ship_Date]]</f>
        <v>1</v>
      </c>
    </row>
    <row r="115" spans="1:15" x14ac:dyDescent="0.25">
      <c r="A115" t="s">
        <v>160</v>
      </c>
      <c r="B115" t="s">
        <v>24</v>
      </c>
      <c r="C115" t="s">
        <v>51</v>
      </c>
      <c r="D115" t="s">
        <v>39</v>
      </c>
      <c r="E115" t="s">
        <v>57</v>
      </c>
      <c r="F115" s="1">
        <v>45714</v>
      </c>
      <c r="G115" s="1">
        <v>45724</v>
      </c>
      <c r="H115" s="1">
        <v>45724</v>
      </c>
      <c r="I115" s="1">
        <v>45727</v>
      </c>
      <c r="J115" t="s">
        <v>19</v>
      </c>
      <c r="K115">
        <v>99</v>
      </c>
      <c r="L115">
        <v>469.63</v>
      </c>
      <c r="M115">
        <v>46493.37</v>
      </c>
      <c r="N115">
        <v>10</v>
      </c>
      <c r="O115">
        <f>Orders[[#This Row],[Actual_Ship_Date]]-Orders[[#This Row],[Expected_Ship_Date]]</f>
        <v>0</v>
      </c>
    </row>
    <row r="116" spans="1:15" x14ac:dyDescent="0.25">
      <c r="A116" t="s">
        <v>161</v>
      </c>
      <c r="B116" t="s">
        <v>48</v>
      </c>
      <c r="C116" t="s">
        <v>51</v>
      </c>
      <c r="D116" t="s">
        <v>35</v>
      </c>
      <c r="E116" t="s">
        <v>57</v>
      </c>
      <c r="F116" s="1">
        <v>45682</v>
      </c>
      <c r="G116" s="1">
        <v>45686</v>
      </c>
      <c r="H116" s="1">
        <v>45691</v>
      </c>
      <c r="I116" s="1">
        <v>45695</v>
      </c>
      <c r="J116" t="s">
        <v>32</v>
      </c>
      <c r="K116">
        <v>59</v>
      </c>
      <c r="L116">
        <v>550.82000000000005</v>
      </c>
      <c r="M116">
        <v>32498.38</v>
      </c>
      <c r="N116">
        <v>9</v>
      </c>
      <c r="O116">
        <f>Orders[[#This Row],[Actual_Ship_Date]]-Orders[[#This Row],[Expected_Ship_Date]]</f>
        <v>5</v>
      </c>
    </row>
    <row r="117" spans="1:15" x14ac:dyDescent="0.25">
      <c r="A117" t="s">
        <v>162</v>
      </c>
      <c r="B117" t="s">
        <v>48</v>
      </c>
      <c r="C117" t="s">
        <v>34</v>
      </c>
      <c r="D117" t="s">
        <v>22</v>
      </c>
      <c r="E117" t="s">
        <v>57</v>
      </c>
      <c r="F117" s="1">
        <v>45689</v>
      </c>
      <c r="G117" s="1">
        <v>45694</v>
      </c>
      <c r="H117" s="1">
        <v>45699</v>
      </c>
      <c r="I117" s="1">
        <v>45704</v>
      </c>
      <c r="J117" t="s">
        <v>27</v>
      </c>
      <c r="K117">
        <v>200</v>
      </c>
      <c r="L117">
        <v>477.76</v>
      </c>
      <c r="M117">
        <v>95552</v>
      </c>
      <c r="N117">
        <v>10</v>
      </c>
      <c r="O117">
        <f>Orders[[#This Row],[Actual_Ship_Date]]-Orders[[#This Row],[Expected_Ship_Date]]</f>
        <v>5</v>
      </c>
    </row>
    <row r="118" spans="1:15" x14ac:dyDescent="0.25">
      <c r="A118" t="s">
        <v>163</v>
      </c>
      <c r="B118" t="s">
        <v>15</v>
      </c>
      <c r="C118" t="s">
        <v>25</v>
      </c>
      <c r="D118" t="s">
        <v>22</v>
      </c>
      <c r="E118" t="s">
        <v>31</v>
      </c>
      <c r="F118" s="1">
        <v>45757</v>
      </c>
      <c r="G118" s="1">
        <v>45762</v>
      </c>
      <c r="H118" s="1">
        <v>45767</v>
      </c>
      <c r="I118" s="1">
        <v>45772</v>
      </c>
      <c r="J118" t="s">
        <v>32</v>
      </c>
      <c r="K118">
        <v>42</v>
      </c>
      <c r="L118">
        <v>839.59</v>
      </c>
      <c r="M118">
        <v>35262.78</v>
      </c>
      <c r="N118">
        <v>10</v>
      </c>
      <c r="O118">
        <f>Orders[[#This Row],[Actual_Ship_Date]]-Orders[[#This Row],[Expected_Ship_Date]]</f>
        <v>5</v>
      </c>
    </row>
    <row r="119" spans="1:15" x14ac:dyDescent="0.25">
      <c r="A119" t="s">
        <v>164</v>
      </c>
      <c r="B119" t="s">
        <v>29</v>
      </c>
      <c r="C119" t="s">
        <v>43</v>
      </c>
      <c r="D119" t="s">
        <v>59</v>
      </c>
      <c r="E119" t="s">
        <v>31</v>
      </c>
      <c r="F119" s="1">
        <v>45742</v>
      </c>
      <c r="G119" s="1">
        <v>45745</v>
      </c>
      <c r="H119" s="1">
        <v>45745</v>
      </c>
      <c r="I119" s="1">
        <v>45746</v>
      </c>
      <c r="J119" t="s">
        <v>36</v>
      </c>
      <c r="K119">
        <v>65</v>
      </c>
      <c r="L119">
        <v>506.69</v>
      </c>
      <c r="M119">
        <v>32934.85</v>
      </c>
      <c r="N119">
        <v>3</v>
      </c>
      <c r="O119">
        <f>Orders[[#This Row],[Actual_Ship_Date]]-Orders[[#This Row],[Expected_Ship_Date]]</f>
        <v>0</v>
      </c>
    </row>
    <row r="120" spans="1:15" x14ac:dyDescent="0.25">
      <c r="A120" t="s">
        <v>165</v>
      </c>
      <c r="B120" t="s">
        <v>24</v>
      </c>
      <c r="C120" t="s">
        <v>16</v>
      </c>
      <c r="D120" t="s">
        <v>39</v>
      </c>
      <c r="E120" t="s">
        <v>63</v>
      </c>
      <c r="F120" s="1">
        <v>45674</v>
      </c>
      <c r="G120" s="1">
        <v>45688</v>
      </c>
      <c r="H120" s="1">
        <v>45689</v>
      </c>
      <c r="I120" s="1">
        <v>45694</v>
      </c>
      <c r="J120" t="s">
        <v>32</v>
      </c>
      <c r="K120">
        <v>21</v>
      </c>
      <c r="L120">
        <v>412.67</v>
      </c>
      <c r="M120">
        <v>8666.07</v>
      </c>
      <c r="N120">
        <v>15</v>
      </c>
      <c r="O120">
        <f>Orders[[#This Row],[Actual_Ship_Date]]-Orders[[#This Row],[Expected_Ship_Date]]</f>
        <v>1</v>
      </c>
    </row>
    <row r="121" spans="1:15" x14ac:dyDescent="0.25">
      <c r="A121" t="s">
        <v>166</v>
      </c>
      <c r="B121" t="s">
        <v>53</v>
      </c>
      <c r="C121" t="s">
        <v>21</v>
      </c>
      <c r="D121" t="s">
        <v>39</v>
      </c>
      <c r="E121" t="s">
        <v>40</v>
      </c>
      <c r="F121" s="1">
        <v>45686</v>
      </c>
      <c r="G121" s="1">
        <v>45698</v>
      </c>
      <c r="H121" s="1">
        <v>45698</v>
      </c>
      <c r="I121" s="1">
        <v>45703</v>
      </c>
      <c r="J121" t="s">
        <v>36</v>
      </c>
      <c r="K121">
        <v>12</v>
      </c>
      <c r="L121">
        <v>65.790000000000006</v>
      </c>
      <c r="M121">
        <v>789.48</v>
      </c>
      <c r="N121">
        <v>12</v>
      </c>
      <c r="O121">
        <f>Orders[[#This Row],[Actual_Ship_Date]]-Orders[[#This Row],[Expected_Ship_Date]]</f>
        <v>0</v>
      </c>
    </row>
    <row r="122" spans="1:15" x14ac:dyDescent="0.25">
      <c r="A122" t="s">
        <v>167</v>
      </c>
      <c r="B122" t="s">
        <v>78</v>
      </c>
      <c r="C122" t="s">
        <v>16</v>
      </c>
      <c r="D122" t="s">
        <v>22</v>
      </c>
      <c r="E122" t="s">
        <v>57</v>
      </c>
      <c r="F122" s="1">
        <v>45671</v>
      </c>
      <c r="G122" s="1">
        <v>45681</v>
      </c>
      <c r="H122" s="1">
        <v>45684</v>
      </c>
      <c r="I122" s="1">
        <v>45688</v>
      </c>
      <c r="J122" t="s">
        <v>32</v>
      </c>
      <c r="K122">
        <v>25</v>
      </c>
      <c r="L122">
        <v>283.95999999999998</v>
      </c>
      <c r="M122">
        <v>7099</v>
      </c>
      <c r="N122">
        <v>13</v>
      </c>
      <c r="O122">
        <f>Orders[[#This Row],[Actual_Ship_Date]]-Orders[[#This Row],[Expected_Ship_Date]]</f>
        <v>3</v>
      </c>
    </row>
    <row r="123" spans="1:15" x14ac:dyDescent="0.25">
      <c r="A123" t="s">
        <v>168</v>
      </c>
      <c r="B123" t="s">
        <v>15</v>
      </c>
      <c r="C123" t="s">
        <v>25</v>
      </c>
      <c r="D123" t="s">
        <v>39</v>
      </c>
      <c r="E123" t="s">
        <v>63</v>
      </c>
      <c r="F123" s="1">
        <v>45737</v>
      </c>
      <c r="G123" s="1">
        <v>45750</v>
      </c>
      <c r="H123" s="1">
        <v>45752</v>
      </c>
      <c r="I123" s="1">
        <v>45757</v>
      </c>
      <c r="J123" t="s">
        <v>27</v>
      </c>
      <c r="K123">
        <v>102</v>
      </c>
      <c r="L123">
        <v>845.51</v>
      </c>
      <c r="M123">
        <v>86242.02</v>
      </c>
      <c r="N123">
        <v>15</v>
      </c>
      <c r="O123">
        <f>Orders[[#This Row],[Actual_Ship_Date]]-Orders[[#This Row],[Expected_Ship_Date]]</f>
        <v>2</v>
      </c>
    </row>
    <row r="124" spans="1:15" x14ac:dyDescent="0.25">
      <c r="A124" t="s">
        <v>169</v>
      </c>
      <c r="B124" t="s">
        <v>53</v>
      </c>
      <c r="C124" t="s">
        <v>21</v>
      </c>
      <c r="D124" t="s">
        <v>39</v>
      </c>
      <c r="E124" t="s">
        <v>40</v>
      </c>
      <c r="F124" s="1">
        <v>45735</v>
      </c>
      <c r="G124" s="1">
        <v>45744</v>
      </c>
      <c r="H124" s="1">
        <v>45744</v>
      </c>
      <c r="I124" s="1">
        <v>45745</v>
      </c>
      <c r="J124" t="s">
        <v>19</v>
      </c>
      <c r="K124">
        <v>63</v>
      </c>
      <c r="L124">
        <v>360.53</v>
      </c>
      <c r="M124">
        <v>22713.39</v>
      </c>
      <c r="N124">
        <v>9</v>
      </c>
      <c r="O124">
        <f>Orders[[#This Row],[Actual_Ship_Date]]-Orders[[#This Row],[Expected_Ship_Date]]</f>
        <v>0</v>
      </c>
    </row>
    <row r="125" spans="1:15" x14ac:dyDescent="0.25">
      <c r="A125" t="s">
        <v>170</v>
      </c>
      <c r="B125" t="s">
        <v>53</v>
      </c>
      <c r="C125" t="s">
        <v>16</v>
      </c>
      <c r="D125" t="s">
        <v>35</v>
      </c>
      <c r="E125" t="s">
        <v>31</v>
      </c>
      <c r="F125" s="1">
        <v>45670</v>
      </c>
      <c r="G125" s="1">
        <v>45678</v>
      </c>
      <c r="H125" s="1">
        <v>45679</v>
      </c>
      <c r="I125" s="1">
        <v>45682</v>
      </c>
      <c r="J125" t="s">
        <v>27</v>
      </c>
      <c r="K125">
        <v>100</v>
      </c>
      <c r="L125">
        <v>811.25</v>
      </c>
      <c r="M125">
        <v>81125</v>
      </c>
      <c r="N125">
        <v>9</v>
      </c>
      <c r="O125">
        <f>Orders[[#This Row],[Actual_Ship_Date]]-Orders[[#This Row],[Expected_Ship_Date]]</f>
        <v>1</v>
      </c>
    </row>
    <row r="126" spans="1:15" x14ac:dyDescent="0.25">
      <c r="A126" t="s">
        <v>171</v>
      </c>
      <c r="B126" t="s">
        <v>15</v>
      </c>
      <c r="C126" t="s">
        <v>46</v>
      </c>
      <c r="D126" t="s">
        <v>35</v>
      </c>
      <c r="E126" t="s">
        <v>18</v>
      </c>
      <c r="F126" s="1">
        <v>45669</v>
      </c>
      <c r="G126" s="1">
        <v>45678</v>
      </c>
      <c r="H126" s="1">
        <v>45678</v>
      </c>
      <c r="I126" s="1">
        <v>45681</v>
      </c>
      <c r="J126" t="s">
        <v>19</v>
      </c>
      <c r="K126">
        <v>155</v>
      </c>
      <c r="L126">
        <v>813.78</v>
      </c>
      <c r="M126">
        <v>126135.9</v>
      </c>
      <c r="N126">
        <v>9</v>
      </c>
      <c r="O126">
        <f>Orders[[#This Row],[Actual_Ship_Date]]-Orders[[#This Row],[Expected_Ship_Date]]</f>
        <v>0</v>
      </c>
    </row>
    <row r="127" spans="1:15" x14ac:dyDescent="0.25">
      <c r="A127" t="s">
        <v>172</v>
      </c>
      <c r="B127" t="s">
        <v>56</v>
      </c>
      <c r="C127" t="s">
        <v>25</v>
      </c>
      <c r="D127" t="s">
        <v>59</v>
      </c>
      <c r="E127" t="s">
        <v>31</v>
      </c>
      <c r="F127" s="1">
        <v>45703</v>
      </c>
      <c r="G127" s="1">
        <v>45716</v>
      </c>
      <c r="H127" s="1">
        <v>45721</v>
      </c>
      <c r="I127" s="1">
        <v>45725</v>
      </c>
      <c r="J127" t="s">
        <v>27</v>
      </c>
      <c r="K127">
        <v>189</v>
      </c>
      <c r="L127">
        <v>57.96</v>
      </c>
      <c r="M127">
        <v>10954.44</v>
      </c>
      <c r="N127">
        <v>18</v>
      </c>
      <c r="O127">
        <f>Orders[[#This Row],[Actual_Ship_Date]]-Orders[[#This Row],[Expected_Ship_Date]]</f>
        <v>5</v>
      </c>
    </row>
    <row r="128" spans="1:15" x14ac:dyDescent="0.25">
      <c r="A128" t="s">
        <v>173</v>
      </c>
      <c r="B128" t="s">
        <v>15</v>
      </c>
      <c r="C128" t="s">
        <v>46</v>
      </c>
      <c r="D128" t="s">
        <v>35</v>
      </c>
      <c r="E128" t="s">
        <v>57</v>
      </c>
      <c r="F128" s="1">
        <v>45731</v>
      </c>
      <c r="G128" s="1">
        <v>45742</v>
      </c>
      <c r="H128" s="1">
        <v>45742</v>
      </c>
      <c r="I128" s="1">
        <v>45744</v>
      </c>
      <c r="J128" t="s">
        <v>36</v>
      </c>
      <c r="K128">
        <v>32</v>
      </c>
      <c r="L128">
        <v>307.35000000000002</v>
      </c>
      <c r="M128">
        <v>9835.2000000000007</v>
      </c>
      <c r="N128">
        <v>11</v>
      </c>
      <c r="O128">
        <f>Orders[[#This Row],[Actual_Ship_Date]]-Orders[[#This Row],[Expected_Ship_Date]]</f>
        <v>0</v>
      </c>
    </row>
    <row r="129" spans="1:15" x14ac:dyDescent="0.25">
      <c r="A129" t="s">
        <v>174</v>
      </c>
      <c r="B129" t="s">
        <v>15</v>
      </c>
      <c r="C129" t="s">
        <v>51</v>
      </c>
      <c r="D129" t="s">
        <v>17</v>
      </c>
      <c r="E129" t="s">
        <v>40</v>
      </c>
      <c r="F129" s="1">
        <v>45731</v>
      </c>
      <c r="G129" s="1">
        <v>45737</v>
      </c>
      <c r="H129" s="1">
        <v>45742</v>
      </c>
      <c r="I129" s="1">
        <v>45746</v>
      </c>
      <c r="J129" t="s">
        <v>27</v>
      </c>
      <c r="K129">
        <v>164</v>
      </c>
      <c r="L129">
        <v>527.33000000000004</v>
      </c>
      <c r="M129">
        <v>86482.12</v>
      </c>
      <c r="N129">
        <v>11</v>
      </c>
      <c r="O129">
        <f>Orders[[#This Row],[Actual_Ship_Date]]-Orders[[#This Row],[Expected_Ship_Date]]</f>
        <v>5</v>
      </c>
    </row>
    <row r="130" spans="1:15" x14ac:dyDescent="0.25">
      <c r="A130" t="s">
        <v>175</v>
      </c>
      <c r="B130" t="s">
        <v>24</v>
      </c>
      <c r="C130" t="s">
        <v>46</v>
      </c>
      <c r="D130" t="s">
        <v>35</v>
      </c>
      <c r="E130" t="s">
        <v>26</v>
      </c>
      <c r="F130" s="1">
        <v>45764</v>
      </c>
      <c r="G130" s="1">
        <v>45778</v>
      </c>
      <c r="H130" s="1">
        <v>45778</v>
      </c>
      <c r="I130" s="1">
        <v>45779</v>
      </c>
      <c r="J130" t="s">
        <v>19</v>
      </c>
      <c r="K130">
        <v>200</v>
      </c>
      <c r="L130">
        <v>273</v>
      </c>
      <c r="M130">
        <v>54600</v>
      </c>
      <c r="N130">
        <v>14</v>
      </c>
      <c r="O130">
        <f>Orders[[#This Row],[Actual_Ship_Date]]-Orders[[#This Row],[Expected_Ship_Date]]</f>
        <v>0</v>
      </c>
    </row>
    <row r="131" spans="1:15" x14ac:dyDescent="0.25">
      <c r="A131" t="s">
        <v>176</v>
      </c>
      <c r="B131" t="s">
        <v>29</v>
      </c>
      <c r="C131" t="s">
        <v>16</v>
      </c>
      <c r="D131" t="s">
        <v>17</v>
      </c>
      <c r="E131" t="s">
        <v>26</v>
      </c>
      <c r="F131" s="1">
        <v>45769</v>
      </c>
      <c r="G131" s="1">
        <v>45774</v>
      </c>
      <c r="H131" s="1">
        <v>45776</v>
      </c>
      <c r="I131" s="1">
        <v>45780</v>
      </c>
      <c r="J131" t="s">
        <v>32</v>
      </c>
      <c r="K131">
        <v>194</v>
      </c>
      <c r="L131">
        <v>543.70000000000005</v>
      </c>
      <c r="M131">
        <v>105477.8</v>
      </c>
      <c r="N131">
        <v>7</v>
      </c>
      <c r="O131">
        <f>Orders[[#This Row],[Actual_Ship_Date]]-Orders[[#This Row],[Expected_Ship_Date]]</f>
        <v>2</v>
      </c>
    </row>
    <row r="132" spans="1:15" x14ac:dyDescent="0.25">
      <c r="A132" t="s">
        <v>177</v>
      </c>
      <c r="B132" t="s">
        <v>48</v>
      </c>
      <c r="C132" t="s">
        <v>16</v>
      </c>
      <c r="D132" t="s">
        <v>35</v>
      </c>
      <c r="E132" t="s">
        <v>26</v>
      </c>
      <c r="F132" s="1">
        <v>45706</v>
      </c>
      <c r="G132" s="1">
        <v>45715</v>
      </c>
      <c r="H132" s="1">
        <v>45716</v>
      </c>
      <c r="I132" s="1">
        <v>45719</v>
      </c>
      <c r="J132" t="s">
        <v>32</v>
      </c>
      <c r="K132">
        <v>84</v>
      </c>
      <c r="L132">
        <v>617.53</v>
      </c>
      <c r="M132">
        <v>51872.52</v>
      </c>
      <c r="N132">
        <v>10</v>
      </c>
      <c r="O132">
        <f>Orders[[#This Row],[Actual_Ship_Date]]-Orders[[#This Row],[Expected_Ship_Date]]</f>
        <v>1</v>
      </c>
    </row>
    <row r="133" spans="1:15" x14ac:dyDescent="0.25">
      <c r="A133" t="s">
        <v>178</v>
      </c>
      <c r="B133" t="s">
        <v>38</v>
      </c>
      <c r="C133" t="s">
        <v>30</v>
      </c>
      <c r="D133" t="s">
        <v>17</v>
      </c>
      <c r="E133" t="s">
        <v>18</v>
      </c>
      <c r="F133" s="1">
        <v>45678</v>
      </c>
      <c r="G133" s="1">
        <v>45693</v>
      </c>
      <c r="H133" s="1">
        <v>45695</v>
      </c>
      <c r="I133" s="1">
        <v>45696</v>
      </c>
      <c r="J133" t="s">
        <v>27</v>
      </c>
      <c r="K133">
        <v>74</v>
      </c>
      <c r="L133">
        <v>385</v>
      </c>
      <c r="M133">
        <v>28490</v>
      </c>
      <c r="N133">
        <v>17</v>
      </c>
      <c r="O133">
        <f>Orders[[#This Row],[Actual_Ship_Date]]-Orders[[#This Row],[Expected_Ship_Date]]</f>
        <v>2</v>
      </c>
    </row>
    <row r="134" spans="1:15" x14ac:dyDescent="0.25">
      <c r="A134" t="s">
        <v>179</v>
      </c>
      <c r="B134" t="s">
        <v>48</v>
      </c>
      <c r="C134" t="s">
        <v>30</v>
      </c>
      <c r="D134" t="s">
        <v>17</v>
      </c>
      <c r="E134" t="s">
        <v>40</v>
      </c>
      <c r="F134" s="1">
        <v>45711</v>
      </c>
      <c r="G134" s="1">
        <v>45718</v>
      </c>
      <c r="H134" s="1">
        <v>45718</v>
      </c>
      <c r="I134" s="1">
        <v>45723</v>
      </c>
      <c r="J134" t="s">
        <v>19</v>
      </c>
      <c r="K134">
        <v>33</v>
      </c>
      <c r="L134">
        <v>251.51</v>
      </c>
      <c r="M134">
        <v>8299.83</v>
      </c>
      <c r="N134">
        <v>7</v>
      </c>
      <c r="O134">
        <f>Orders[[#This Row],[Actual_Ship_Date]]-Orders[[#This Row],[Expected_Ship_Date]]</f>
        <v>0</v>
      </c>
    </row>
    <row r="135" spans="1:15" x14ac:dyDescent="0.25">
      <c r="A135" t="s">
        <v>180</v>
      </c>
      <c r="B135" t="s">
        <v>78</v>
      </c>
      <c r="C135" t="s">
        <v>25</v>
      </c>
      <c r="D135" t="s">
        <v>59</v>
      </c>
      <c r="E135" t="s">
        <v>57</v>
      </c>
      <c r="F135" s="1">
        <v>45697</v>
      </c>
      <c r="G135" s="1">
        <v>45700</v>
      </c>
      <c r="H135" s="1">
        <v>45700</v>
      </c>
      <c r="I135" s="1">
        <v>45704</v>
      </c>
      <c r="J135" t="s">
        <v>32</v>
      </c>
      <c r="K135">
        <v>82</v>
      </c>
      <c r="L135">
        <v>804.35</v>
      </c>
      <c r="M135">
        <v>65956.7</v>
      </c>
      <c r="N135">
        <v>3</v>
      </c>
      <c r="O135">
        <f>Orders[[#This Row],[Actual_Ship_Date]]-Orders[[#This Row],[Expected_Ship_Date]]</f>
        <v>0</v>
      </c>
    </row>
    <row r="136" spans="1:15" x14ac:dyDescent="0.25">
      <c r="A136" t="s">
        <v>181</v>
      </c>
      <c r="B136" t="s">
        <v>45</v>
      </c>
      <c r="C136" t="s">
        <v>46</v>
      </c>
      <c r="D136" t="s">
        <v>35</v>
      </c>
      <c r="E136" t="s">
        <v>18</v>
      </c>
      <c r="F136" s="1">
        <v>45673</v>
      </c>
      <c r="G136" s="1">
        <v>45676</v>
      </c>
      <c r="H136" s="1">
        <v>45677</v>
      </c>
      <c r="I136" s="1">
        <v>45681</v>
      </c>
      <c r="J136" t="s">
        <v>32</v>
      </c>
      <c r="K136">
        <v>102</v>
      </c>
      <c r="L136">
        <v>459.71</v>
      </c>
      <c r="M136">
        <v>46890.42</v>
      </c>
      <c r="N136">
        <v>4</v>
      </c>
      <c r="O136">
        <f>Orders[[#This Row],[Actual_Ship_Date]]-Orders[[#This Row],[Expected_Ship_Date]]</f>
        <v>1</v>
      </c>
    </row>
    <row r="137" spans="1:15" x14ac:dyDescent="0.25">
      <c r="A137" t="s">
        <v>182</v>
      </c>
      <c r="B137" t="s">
        <v>48</v>
      </c>
      <c r="C137" t="s">
        <v>21</v>
      </c>
      <c r="D137" t="s">
        <v>17</v>
      </c>
      <c r="E137" t="s">
        <v>18</v>
      </c>
      <c r="F137" s="1">
        <v>45768</v>
      </c>
      <c r="G137" s="1">
        <v>45782</v>
      </c>
      <c r="H137" s="1">
        <v>45782</v>
      </c>
      <c r="I137" s="1">
        <v>45786</v>
      </c>
      <c r="J137" t="s">
        <v>19</v>
      </c>
      <c r="K137">
        <v>24</v>
      </c>
      <c r="L137">
        <v>734.86</v>
      </c>
      <c r="M137">
        <v>17636.64</v>
      </c>
      <c r="N137">
        <v>14</v>
      </c>
      <c r="O137">
        <f>Orders[[#This Row],[Actual_Ship_Date]]-Orders[[#This Row],[Expected_Ship_Date]]</f>
        <v>0</v>
      </c>
    </row>
    <row r="138" spans="1:15" x14ac:dyDescent="0.25">
      <c r="A138" t="s">
        <v>183</v>
      </c>
      <c r="B138" t="s">
        <v>78</v>
      </c>
      <c r="C138" t="s">
        <v>30</v>
      </c>
      <c r="D138" t="s">
        <v>59</v>
      </c>
      <c r="E138" t="s">
        <v>31</v>
      </c>
      <c r="F138" s="1">
        <v>45748</v>
      </c>
      <c r="G138" s="1">
        <v>45761</v>
      </c>
      <c r="H138" s="1">
        <v>45762</v>
      </c>
      <c r="I138" s="1">
        <v>45765</v>
      </c>
      <c r="J138" t="s">
        <v>32</v>
      </c>
      <c r="K138">
        <v>10</v>
      </c>
      <c r="L138">
        <v>821.78</v>
      </c>
      <c r="M138">
        <v>8217.7999999999993</v>
      </c>
      <c r="N138">
        <v>14</v>
      </c>
      <c r="O138">
        <f>Orders[[#This Row],[Actual_Ship_Date]]-Orders[[#This Row],[Expected_Ship_Date]]</f>
        <v>1</v>
      </c>
    </row>
    <row r="139" spans="1:15" x14ac:dyDescent="0.25">
      <c r="A139" t="s">
        <v>184</v>
      </c>
      <c r="B139" t="s">
        <v>24</v>
      </c>
      <c r="C139" t="s">
        <v>34</v>
      </c>
      <c r="D139" t="s">
        <v>59</v>
      </c>
      <c r="E139" t="s">
        <v>26</v>
      </c>
      <c r="F139" s="1">
        <v>45713</v>
      </c>
      <c r="G139" s="1">
        <v>45717</v>
      </c>
      <c r="H139" s="1">
        <v>45717</v>
      </c>
      <c r="I139" s="1">
        <v>45721</v>
      </c>
      <c r="J139" t="s">
        <v>36</v>
      </c>
      <c r="K139">
        <v>106</v>
      </c>
      <c r="L139">
        <v>741.89</v>
      </c>
      <c r="M139">
        <v>78640.34</v>
      </c>
      <c r="N139">
        <v>4</v>
      </c>
      <c r="O139">
        <f>Orders[[#This Row],[Actual_Ship_Date]]-Orders[[#This Row],[Expected_Ship_Date]]</f>
        <v>0</v>
      </c>
    </row>
    <row r="140" spans="1:15" x14ac:dyDescent="0.25">
      <c r="A140" t="s">
        <v>185</v>
      </c>
      <c r="B140" t="s">
        <v>24</v>
      </c>
      <c r="C140" t="s">
        <v>46</v>
      </c>
      <c r="D140" t="s">
        <v>22</v>
      </c>
      <c r="E140" t="s">
        <v>26</v>
      </c>
      <c r="F140" s="1">
        <v>45667</v>
      </c>
      <c r="G140" s="1">
        <v>45678</v>
      </c>
      <c r="H140" s="1">
        <v>45681</v>
      </c>
      <c r="I140" s="1">
        <v>45682</v>
      </c>
      <c r="J140" t="s">
        <v>27</v>
      </c>
      <c r="K140">
        <v>54</v>
      </c>
      <c r="L140">
        <v>771.45</v>
      </c>
      <c r="M140">
        <v>41658.300000000003</v>
      </c>
      <c r="N140">
        <v>14</v>
      </c>
      <c r="O140">
        <f>Orders[[#This Row],[Actual_Ship_Date]]-Orders[[#This Row],[Expected_Ship_Date]]</f>
        <v>3</v>
      </c>
    </row>
    <row r="141" spans="1:15" x14ac:dyDescent="0.25">
      <c r="A141" t="s">
        <v>186</v>
      </c>
      <c r="B141" t="s">
        <v>42</v>
      </c>
      <c r="C141" t="s">
        <v>43</v>
      </c>
      <c r="D141" t="s">
        <v>39</v>
      </c>
      <c r="E141" t="s">
        <v>18</v>
      </c>
      <c r="F141" s="1">
        <v>45671</v>
      </c>
      <c r="G141" s="1">
        <v>45676</v>
      </c>
      <c r="H141" s="1">
        <v>45676</v>
      </c>
      <c r="I141" s="1">
        <v>45678</v>
      </c>
      <c r="J141" t="s">
        <v>19</v>
      </c>
      <c r="K141">
        <v>199</v>
      </c>
      <c r="L141">
        <v>648.89</v>
      </c>
      <c r="M141">
        <v>129129.11</v>
      </c>
      <c r="N141">
        <v>5</v>
      </c>
      <c r="O141">
        <f>Orders[[#This Row],[Actual_Ship_Date]]-Orders[[#This Row],[Expected_Ship_Date]]</f>
        <v>0</v>
      </c>
    </row>
    <row r="142" spans="1:15" x14ac:dyDescent="0.25">
      <c r="A142" t="s">
        <v>187</v>
      </c>
      <c r="B142" t="s">
        <v>48</v>
      </c>
      <c r="C142" t="s">
        <v>46</v>
      </c>
      <c r="D142" t="s">
        <v>59</v>
      </c>
      <c r="E142" t="s">
        <v>26</v>
      </c>
      <c r="F142" s="1">
        <v>45754</v>
      </c>
      <c r="G142" s="1">
        <v>45766</v>
      </c>
      <c r="H142" s="1">
        <v>45771</v>
      </c>
      <c r="I142" s="1">
        <v>45776</v>
      </c>
      <c r="J142" t="s">
        <v>27</v>
      </c>
      <c r="K142">
        <v>149</v>
      </c>
      <c r="L142">
        <v>551.9</v>
      </c>
      <c r="M142">
        <v>82233.100000000006</v>
      </c>
      <c r="N142">
        <v>17</v>
      </c>
      <c r="O142">
        <f>Orders[[#This Row],[Actual_Ship_Date]]-Orders[[#This Row],[Expected_Ship_Date]]</f>
        <v>5</v>
      </c>
    </row>
    <row r="143" spans="1:15" x14ac:dyDescent="0.25">
      <c r="A143" t="s">
        <v>188</v>
      </c>
      <c r="B143" t="s">
        <v>24</v>
      </c>
      <c r="C143" t="s">
        <v>16</v>
      </c>
      <c r="D143" t="s">
        <v>59</v>
      </c>
      <c r="E143" t="s">
        <v>18</v>
      </c>
      <c r="F143" s="1">
        <v>45714</v>
      </c>
      <c r="G143" s="1">
        <v>45718</v>
      </c>
      <c r="H143" s="1">
        <v>45719</v>
      </c>
      <c r="I143" s="1">
        <v>45723</v>
      </c>
      <c r="J143" t="s">
        <v>27</v>
      </c>
      <c r="K143">
        <v>75</v>
      </c>
      <c r="L143">
        <v>508.84</v>
      </c>
      <c r="M143">
        <v>38163</v>
      </c>
      <c r="N143">
        <v>5</v>
      </c>
      <c r="O143">
        <f>Orders[[#This Row],[Actual_Ship_Date]]-Orders[[#This Row],[Expected_Ship_Date]]</f>
        <v>1</v>
      </c>
    </row>
    <row r="144" spans="1:15" x14ac:dyDescent="0.25">
      <c r="A144" t="s">
        <v>189</v>
      </c>
      <c r="B144" t="s">
        <v>15</v>
      </c>
      <c r="C144" t="s">
        <v>21</v>
      </c>
      <c r="D144" t="s">
        <v>39</v>
      </c>
      <c r="E144" t="s">
        <v>63</v>
      </c>
      <c r="F144" s="1">
        <v>45715</v>
      </c>
      <c r="G144" s="1">
        <v>45718</v>
      </c>
      <c r="H144" s="1">
        <v>45718</v>
      </c>
      <c r="I144" s="1">
        <v>45721</v>
      </c>
      <c r="J144" t="s">
        <v>32</v>
      </c>
      <c r="K144">
        <v>28</v>
      </c>
      <c r="L144">
        <v>528.53</v>
      </c>
      <c r="M144">
        <v>14798.84</v>
      </c>
      <c r="N144">
        <v>3</v>
      </c>
      <c r="O144">
        <f>Orders[[#This Row],[Actual_Ship_Date]]-Orders[[#This Row],[Expected_Ship_Date]]</f>
        <v>0</v>
      </c>
    </row>
    <row r="145" spans="1:15" x14ac:dyDescent="0.25">
      <c r="A145" t="s">
        <v>190</v>
      </c>
      <c r="B145" t="s">
        <v>24</v>
      </c>
      <c r="C145" t="s">
        <v>30</v>
      </c>
      <c r="D145" t="s">
        <v>17</v>
      </c>
      <c r="E145" t="s">
        <v>26</v>
      </c>
      <c r="F145" s="1">
        <v>45728</v>
      </c>
      <c r="G145" s="1">
        <v>45743</v>
      </c>
      <c r="H145" s="1">
        <v>45746</v>
      </c>
      <c r="I145" s="1">
        <v>45747</v>
      </c>
      <c r="J145" t="s">
        <v>27</v>
      </c>
      <c r="K145">
        <v>151</v>
      </c>
      <c r="L145">
        <v>559.28</v>
      </c>
      <c r="M145">
        <v>84451.28</v>
      </c>
      <c r="N145">
        <v>18</v>
      </c>
      <c r="O145">
        <f>Orders[[#This Row],[Actual_Ship_Date]]-Orders[[#This Row],[Expected_Ship_Date]]</f>
        <v>3</v>
      </c>
    </row>
    <row r="146" spans="1:15" x14ac:dyDescent="0.25">
      <c r="A146" t="s">
        <v>191</v>
      </c>
      <c r="B146" t="s">
        <v>53</v>
      </c>
      <c r="C146" t="s">
        <v>30</v>
      </c>
      <c r="D146" t="s">
        <v>17</v>
      </c>
      <c r="E146" t="s">
        <v>63</v>
      </c>
      <c r="F146" s="1">
        <v>45665</v>
      </c>
      <c r="G146" s="1">
        <v>45675</v>
      </c>
      <c r="H146" s="1">
        <v>45675</v>
      </c>
      <c r="I146" s="1">
        <v>45678</v>
      </c>
      <c r="J146" t="s">
        <v>19</v>
      </c>
      <c r="K146">
        <v>49</v>
      </c>
      <c r="L146">
        <v>47.68</v>
      </c>
      <c r="M146">
        <v>2336.3200000000002</v>
      </c>
      <c r="N146">
        <v>10</v>
      </c>
      <c r="O146">
        <f>Orders[[#This Row],[Actual_Ship_Date]]-Orders[[#This Row],[Expected_Ship_Date]]</f>
        <v>0</v>
      </c>
    </row>
    <row r="147" spans="1:15" x14ac:dyDescent="0.25">
      <c r="A147" t="s">
        <v>192</v>
      </c>
      <c r="B147" t="s">
        <v>29</v>
      </c>
      <c r="C147" t="s">
        <v>46</v>
      </c>
      <c r="D147" t="s">
        <v>35</v>
      </c>
      <c r="E147" t="s">
        <v>57</v>
      </c>
      <c r="F147" s="1">
        <v>45736</v>
      </c>
      <c r="G147" s="1">
        <v>45741</v>
      </c>
      <c r="H147" s="1">
        <v>45741</v>
      </c>
      <c r="I147" s="1">
        <v>45744</v>
      </c>
      <c r="J147" t="s">
        <v>36</v>
      </c>
      <c r="K147">
        <v>91</v>
      </c>
      <c r="L147">
        <v>581.88</v>
      </c>
      <c r="M147">
        <v>52951.08</v>
      </c>
      <c r="N147">
        <v>5</v>
      </c>
      <c r="O147">
        <f>Orders[[#This Row],[Actual_Ship_Date]]-Orders[[#This Row],[Expected_Ship_Date]]</f>
        <v>0</v>
      </c>
    </row>
    <row r="148" spans="1:15" x14ac:dyDescent="0.25">
      <c r="A148" t="s">
        <v>193</v>
      </c>
      <c r="B148" t="s">
        <v>48</v>
      </c>
      <c r="C148" t="s">
        <v>43</v>
      </c>
      <c r="D148" t="s">
        <v>59</v>
      </c>
      <c r="E148" t="s">
        <v>31</v>
      </c>
      <c r="F148" s="1">
        <v>45670</v>
      </c>
      <c r="G148" s="1">
        <v>45681</v>
      </c>
      <c r="H148" s="1">
        <v>45684</v>
      </c>
      <c r="I148" s="1">
        <v>45688</v>
      </c>
      <c r="J148" t="s">
        <v>27</v>
      </c>
      <c r="K148">
        <v>190</v>
      </c>
      <c r="L148">
        <v>726.06</v>
      </c>
      <c r="M148">
        <v>137951.4</v>
      </c>
      <c r="N148">
        <v>14</v>
      </c>
      <c r="O148">
        <f>Orders[[#This Row],[Actual_Ship_Date]]-Orders[[#This Row],[Expected_Ship_Date]]</f>
        <v>3</v>
      </c>
    </row>
    <row r="149" spans="1:15" x14ac:dyDescent="0.25">
      <c r="A149" t="s">
        <v>194</v>
      </c>
      <c r="B149" t="s">
        <v>78</v>
      </c>
      <c r="C149" t="s">
        <v>16</v>
      </c>
      <c r="D149" t="s">
        <v>59</v>
      </c>
      <c r="E149" t="s">
        <v>63</v>
      </c>
      <c r="F149" s="1">
        <v>45732</v>
      </c>
      <c r="G149" s="1">
        <v>45745</v>
      </c>
      <c r="H149" s="1">
        <v>45745</v>
      </c>
      <c r="I149" s="1">
        <v>45748</v>
      </c>
      <c r="J149" t="s">
        <v>36</v>
      </c>
      <c r="K149">
        <v>183</v>
      </c>
      <c r="L149">
        <v>567.88</v>
      </c>
      <c r="M149">
        <v>103922.04</v>
      </c>
      <c r="N149">
        <v>13</v>
      </c>
      <c r="O149">
        <f>Orders[[#This Row],[Actual_Ship_Date]]-Orders[[#This Row],[Expected_Ship_Date]]</f>
        <v>0</v>
      </c>
    </row>
    <row r="150" spans="1:15" x14ac:dyDescent="0.25">
      <c r="A150" t="s">
        <v>195</v>
      </c>
      <c r="B150" t="s">
        <v>15</v>
      </c>
      <c r="C150" t="s">
        <v>16</v>
      </c>
      <c r="D150" t="s">
        <v>39</v>
      </c>
      <c r="E150" t="s">
        <v>63</v>
      </c>
      <c r="F150" s="1">
        <v>45706</v>
      </c>
      <c r="G150" s="1">
        <v>45719</v>
      </c>
      <c r="H150" s="1">
        <v>45724</v>
      </c>
      <c r="I150" s="1">
        <v>45727</v>
      </c>
      <c r="J150" t="s">
        <v>27</v>
      </c>
      <c r="K150">
        <v>176</v>
      </c>
      <c r="L150">
        <v>601.86</v>
      </c>
      <c r="M150">
        <v>105927.36</v>
      </c>
      <c r="N150">
        <v>18</v>
      </c>
      <c r="O150">
        <f>Orders[[#This Row],[Actual_Ship_Date]]-Orders[[#This Row],[Expected_Ship_Date]]</f>
        <v>5</v>
      </c>
    </row>
    <row r="151" spans="1:15" x14ac:dyDescent="0.25">
      <c r="A151" t="s">
        <v>196</v>
      </c>
      <c r="B151" t="s">
        <v>53</v>
      </c>
      <c r="C151" t="s">
        <v>34</v>
      </c>
      <c r="D151" t="s">
        <v>22</v>
      </c>
      <c r="E151" t="s">
        <v>26</v>
      </c>
      <c r="F151" s="1">
        <v>45704</v>
      </c>
      <c r="G151" s="1">
        <v>45707</v>
      </c>
      <c r="H151" s="1">
        <v>45707</v>
      </c>
      <c r="I151" s="1">
        <v>45710</v>
      </c>
      <c r="J151" t="s">
        <v>19</v>
      </c>
      <c r="K151">
        <v>92</v>
      </c>
      <c r="L151">
        <v>806.3</v>
      </c>
      <c r="M151">
        <v>74179.600000000006</v>
      </c>
      <c r="N151">
        <v>3</v>
      </c>
      <c r="O151">
        <f>Orders[[#This Row],[Actual_Ship_Date]]-Orders[[#This Row],[Expected_Ship_Date]]</f>
        <v>0</v>
      </c>
    </row>
    <row r="152" spans="1:15" x14ac:dyDescent="0.25">
      <c r="A152" t="s">
        <v>197</v>
      </c>
      <c r="B152" t="s">
        <v>38</v>
      </c>
      <c r="C152" t="s">
        <v>43</v>
      </c>
      <c r="D152" t="s">
        <v>22</v>
      </c>
      <c r="E152" t="s">
        <v>26</v>
      </c>
      <c r="F152" s="1">
        <v>45677</v>
      </c>
      <c r="G152" s="1">
        <v>45681</v>
      </c>
      <c r="H152" s="1">
        <v>45681</v>
      </c>
      <c r="I152" s="1">
        <v>45682</v>
      </c>
      <c r="J152" t="s">
        <v>19</v>
      </c>
      <c r="K152">
        <v>163</v>
      </c>
      <c r="L152">
        <v>124.43</v>
      </c>
      <c r="M152">
        <v>20282.09</v>
      </c>
      <c r="N152">
        <v>4</v>
      </c>
      <c r="O152">
        <f>Orders[[#This Row],[Actual_Ship_Date]]-Orders[[#This Row],[Expected_Ship_Date]]</f>
        <v>0</v>
      </c>
    </row>
    <row r="153" spans="1:15" x14ac:dyDescent="0.25">
      <c r="A153" t="s">
        <v>198</v>
      </c>
      <c r="B153" t="s">
        <v>29</v>
      </c>
      <c r="C153" t="s">
        <v>21</v>
      </c>
      <c r="D153" t="s">
        <v>59</v>
      </c>
      <c r="E153" t="s">
        <v>40</v>
      </c>
      <c r="F153" s="1">
        <v>45764</v>
      </c>
      <c r="G153" s="1">
        <v>45778</v>
      </c>
      <c r="H153" s="1">
        <v>45783</v>
      </c>
      <c r="I153" s="1">
        <v>45788</v>
      </c>
      <c r="J153" t="s">
        <v>27</v>
      </c>
      <c r="K153">
        <v>47</v>
      </c>
      <c r="L153">
        <v>617.19000000000005</v>
      </c>
      <c r="M153">
        <v>29007.93</v>
      </c>
      <c r="N153">
        <v>19</v>
      </c>
      <c r="O153">
        <f>Orders[[#This Row],[Actual_Ship_Date]]-Orders[[#This Row],[Expected_Ship_Date]]</f>
        <v>5</v>
      </c>
    </row>
    <row r="154" spans="1:15" x14ac:dyDescent="0.25">
      <c r="A154" t="s">
        <v>199</v>
      </c>
      <c r="B154" t="s">
        <v>45</v>
      </c>
      <c r="C154" t="s">
        <v>34</v>
      </c>
      <c r="D154" t="s">
        <v>59</v>
      </c>
      <c r="E154" t="s">
        <v>18</v>
      </c>
      <c r="F154" s="1">
        <v>45750</v>
      </c>
      <c r="G154" s="1">
        <v>45756</v>
      </c>
      <c r="H154" s="1">
        <v>45757</v>
      </c>
      <c r="I154" s="1">
        <v>45762</v>
      </c>
      <c r="J154" t="s">
        <v>27</v>
      </c>
      <c r="K154">
        <v>196</v>
      </c>
      <c r="L154">
        <v>669.47</v>
      </c>
      <c r="M154">
        <v>131216.12</v>
      </c>
      <c r="N154">
        <v>7</v>
      </c>
      <c r="O154">
        <f>Orders[[#This Row],[Actual_Ship_Date]]-Orders[[#This Row],[Expected_Ship_Date]]</f>
        <v>1</v>
      </c>
    </row>
    <row r="155" spans="1:15" x14ac:dyDescent="0.25">
      <c r="A155" t="s">
        <v>200</v>
      </c>
      <c r="B155" t="s">
        <v>15</v>
      </c>
      <c r="C155" t="s">
        <v>21</v>
      </c>
      <c r="D155" t="s">
        <v>22</v>
      </c>
      <c r="E155" t="s">
        <v>26</v>
      </c>
      <c r="F155" s="1">
        <v>45773</v>
      </c>
      <c r="G155" s="1">
        <v>45779</v>
      </c>
      <c r="H155" s="1">
        <v>45779</v>
      </c>
      <c r="I155" s="1">
        <v>45784</v>
      </c>
      <c r="J155" t="s">
        <v>36</v>
      </c>
      <c r="K155">
        <v>77</v>
      </c>
      <c r="L155">
        <v>664.73</v>
      </c>
      <c r="M155">
        <v>51184.21</v>
      </c>
      <c r="N155">
        <v>6</v>
      </c>
      <c r="O155">
        <f>Orders[[#This Row],[Actual_Ship_Date]]-Orders[[#This Row],[Expected_Ship_Date]]</f>
        <v>0</v>
      </c>
    </row>
    <row r="156" spans="1:15" x14ac:dyDescent="0.25">
      <c r="A156" t="s">
        <v>201</v>
      </c>
      <c r="B156" t="s">
        <v>42</v>
      </c>
      <c r="C156" t="s">
        <v>16</v>
      </c>
      <c r="D156" t="s">
        <v>59</v>
      </c>
      <c r="E156" t="s">
        <v>31</v>
      </c>
      <c r="F156" s="1">
        <v>45760</v>
      </c>
      <c r="G156" s="1">
        <v>45772</v>
      </c>
      <c r="H156" s="1">
        <v>45772</v>
      </c>
      <c r="I156" s="1">
        <v>45775</v>
      </c>
      <c r="J156" t="s">
        <v>19</v>
      </c>
      <c r="K156">
        <v>100</v>
      </c>
      <c r="L156">
        <v>478.04</v>
      </c>
      <c r="M156">
        <v>47804</v>
      </c>
      <c r="N156">
        <v>12</v>
      </c>
      <c r="O156">
        <f>Orders[[#This Row],[Actual_Ship_Date]]-Orders[[#This Row],[Expected_Ship_Date]]</f>
        <v>0</v>
      </c>
    </row>
    <row r="157" spans="1:15" x14ac:dyDescent="0.25">
      <c r="A157" t="s">
        <v>202</v>
      </c>
      <c r="B157" t="s">
        <v>45</v>
      </c>
      <c r="C157" t="s">
        <v>30</v>
      </c>
      <c r="D157" t="s">
        <v>59</v>
      </c>
      <c r="E157" t="s">
        <v>31</v>
      </c>
      <c r="F157" s="1">
        <v>45755</v>
      </c>
      <c r="G157" s="1">
        <v>45760</v>
      </c>
      <c r="H157" s="1">
        <v>45760</v>
      </c>
      <c r="I157" s="1">
        <v>45764</v>
      </c>
      <c r="J157" t="s">
        <v>19</v>
      </c>
      <c r="K157">
        <v>28</v>
      </c>
      <c r="L157">
        <v>805.26</v>
      </c>
      <c r="M157">
        <v>22547.279999999999</v>
      </c>
      <c r="N157">
        <v>5</v>
      </c>
      <c r="O157">
        <f>Orders[[#This Row],[Actual_Ship_Date]]-Orders[[#This Row],[Expected_Ship_Date]]</f>
        <v>0</v>
      </c>
    </row>
    <row r="158" spans="1:15" x14ac:dyDescent="0.25">
      <c r="A158" t="s">
        <v>203</v>
      </c>
      <c r="B158" t="s">
        <v>24</v>
      </c>
      <c r="C158" t="s">
        <v>34</v>
      </c>
      <c r="D158" t="s">
        <v>35</v>
      </c>
      <c r="E158" t="s">
        <v>57</v>
      </c>
      <c r="F158" s="1">
        <v>45711</v>
      </c>
      <c r="G158" s="1">
        <v>45714</v>
      </c>
      <c r="H158" s="1">
        <v>45715</v>
      </c>
      <c r="I158" s="1">
        <v>45720</v>
      </c>
      <c r="J158" t="s">
        <v>27</v>
      </c>
      <c r="K158">
        <v>103</v>
      </c>
      <c r="L158">
        <v>845.43</v>
      </c>
      <c r="M158">
        <v>87079.29</v>
      </c>
      <c r="N158">
        <v>4</v>
      </c>
      <c r="O158">
        <f>Orders[[#This Row],[Actual_Ship_Date]]-Orders[[#This Row],[Expected_Ship_Date]]</f>
        <v>1</v>
      </c>
    </row>
    <row r="159" spans="1:15" x14ac:dyDescent="0.25">
      <c r="A159" t="s">
        <v>204</v>
      </c>
      <c r="B159" t="s">
        <v>53</v>
      </c>
      <c r="C159" t="s">
        <v>43</v>
      </c>
      <c r="D159" t="s">
        <v>39</v>
      </c>
      <c r="E159" t="s">
        <v>18</v>
      </c>
      <c r="F159" s="1">
        <v>45777</v>
      </c>
      <c r="G159" s="1">
        <v>45781</v>
      </c>
      <c r="H159" s="1">
        <v>45786</v>
      </c>
      <c r="I159" s="1">
        <v>45789</v>
      </c>
      <c r="J159" t="s">
        <v>27</v>
      </c>
      <c r="K159">
        <v>40</v>
      </c>
      <c r="L159">
        <v>46.98</v>
      </c>
      <c r="M159">
        <v>1879.2</v>
      </c>
      <c r="N159">
        <v>9</v>
      </c>
      <c r="O159">
        <f>Orders[[#This Row],[Actual_Ship_Date]]-Orders[[#This Row],[Expected_Ship_Date]]</f>
        <v>5</v>
      </c>
    </row>
    <row r="160" spans="1:15" x14ac:dyDescent="0.25">
      <c r="A160" t="s">
        <v>205</v>
      </c>
      <c r="B160" t="s">
        <v>48</v>
      </c>
      <c r="C160" t="s">
        <v>21</v>
      </c>
      <c r="D160" t="s">
        <v>35</v>
      </c>
      <c r="E160" t="s">
        <v>57</v>
      </c>
      <c r="F160" s="1">
        <v>45736</v>
      </c>
      <c r="G160" s="1">
        <v>45739</v>
      </c>
      <c r="H160" s="1">
        <v>45739</v>
      </c>
      <c r="I160" s="1">
        <v>45740</v>
      </c>
      <c r="J160" t="s">
        <v>36</v>
      </c>
      <c r="K160">
        <v>43</v>
      </c>
      <c r="L160">
        <v>473.25</v>
      </c>
      <c r="M160">
        <v>20349.75</v>
      </c>
      <c r="N160">
        <v>3</v>
      </c>
      <c r="O160">
        <f>Orders[[#This Row],[Actual_Ship_Date]]-Orders[[#This Row],[Expected_Ship_Date]]</f>
        <v>0</v>
      </c>
    </row>
    <row r="161" spans="1:15" x14ac:dyDescent="0.25">
      <c r="A161" t="s">
        <v>206</v>
      </c>
      <c r="B161" t="s">
        <v>42</v>
      </c>
      <c r="C161" t="s">
        <v>30</v>
      </c>
      <c r="D161" t="s">
        <v>17</v>
      </c>
      <c r="E161" t="s">
        <v>63</v>
      </c>
      <c r="F161" s="1">
        <v>45688</v>
      </c>
      <c r="G161" s="1">
        <v>45695</v>
      </c>
      <c r="H161" s="1">
        <v>45695</v>
      </c>
      <c r="I161" s="1">
        <v>45696</v>
      </c>
      <c r="J161" t="s">
        <v>19</v>
      </c>
      <c r="K161">
        <v>164</v>
      </c>
      <c r="L161">
        <v>396.69</v>
      </c>
      <c r="M161">
        <v>65057.16</v>
      </c>
      <c r="N161">
        <v>7</v>
      </c>
      <c r="O161">
        <f>Orders[[#This Row],[Actual_Ship_Date]]-Orders[[#This Row],[Expected_Ship_Date]]</f>
        <v>0</v>
      </c>
    </row>
    <row r="162" spans="1:15" x14ac:dyDescent="0.25">
      <c r="A162" t="s">
        <v>207</v>
      </c>
      <c r="B162" t="s">
        <v>29</v>
      </c>
      <c r="C162" t="s">
        <v>46</v>
      </c>
      <c r="D162" t="s">
        <v>22</v>
      </c>
      <c r="E162" t="s">
        <v>63</v>
      </c>
      <c r="F162" s="1">
        <v>45660</v>
      </c>
      <c r="G162" s="1">
        <v>45673</v>
      </c>
      <c r="H162" s="1">
        <v>45675</v>
      </c>
      <c r="I162" s="1">
        <v>45680</v>
      </c>
      <c r="J162" t="s">
        <v>27</v>
      </c>
      <c r="K162">
        <v>41</v>
      </c>
      <c r="L162">
        <v>258.20999999999998</v>
      </c>
      <c r="M162">
        <v>10586.61</v>
      </c>
      <c r="N162">
        <v>15</v>
      </c>
      <c r="O162">
        <f>Orders[[#This Row],[Actual_Ship_Date]]-Orders[[#This Row],[Expected_Ship_Date]]</f>
        <v>2</v>
      </c>
    </row>
    <row r="163" spans="1:15" x14ac:dyDescent="0.25">
      <c r="A163" t="s">
        <v>208</v>
      </c>
      <c r="B163" t="s">
        <v>15</v>
      </c>
      <c r="C163" t="s">
        <v>51</v>
      </c>
      <c r="D163" t="s">
        <v>39</v>
      </c>
      <c r="E163" t="s">
        <v>18</v>
      </c>
      <c r="F163" s="1">
        <v>45711</v>
      </c>
      <c r="G163" s="1">
        <v>45716</v>
      </c>
      <c r="H163" s="1">
        <v>45719</v>
      </c>
      <c r="I163" s="1">
        <v>45720</v>
      </c>
      <c r="J163" t="s">
        <v>27</v>
      </c>
      <c r="K163">
        <v>97</v>
      </c>
      <c r="L163">
        <v>71.510000000000005</v>
      </c>
      <c r="M163">
        <v>6936.47</v>
      </c>
      <c r="N163">
        <v>8</v>
      </c>
      <c r="O163">
        <f>Orders[[#This Row],[Actual_Ship_Date]]-Orders[[#This Row],[Expected_Ship_Date]]</f>
        <v>3</v>
      </c>
    </row>
    <row r="164" spans="1:15" x14ac:dyDescent="0.25">
      <c r="A164" t="s">
        <v>209</v>
      </c>
      <c r="B164" t="s">
        <v>42</v>
      </c>
      <c r="C164" t="s">
        <v>46</v>
      </c>
      <c r="D164" t="s">
        <v>22</v>
      </c>
      <c r="E164" t="s">
        <v>40</v>
      </c>
      <c r="F164" s="1">
        <v>45663</v>
      </c>
      <c r="G164" s="1">
        <v>45676</v>
      </c>
      <c r="H164" s="1">
        <v>45677</v>
      </c>
      <c r="I164" s="1">
        <v>45680</v>
      </c>
      <c r="J164" t="s">
        <v>27</v>
      </c>
      <c r="K164">
        <v>9</v>
      </c>
      <c r="L164">
        <v>313.17</v>
      </c>
      <c r="M164">
        <v>2818.53</v>
      </c>
      <c r="N164">
        <v>14</v>
      </c>
      <c r="O164">
        <f>Orders[[#This Row],[Actual_Ship_Date]]-Orders[[#This Row],[Expected_Ship_Date]]</f>
        <v>1</v>
      </c>
    </row>
    <row r="165" spans="1:15" x14ac:dyDescent="0.25">
      <c r="A165" t="s">
        <v>210</v>
      </c>
      <c r="B165" t="s">
        <v>78</v>
      </c>
      <c r="C165" t="s">
        <v>30</v>
      </c>
      <c r="D165" t="s">
        <v>39</v>
      </c>
      <c r="E165" t="s">
        <v>40</v>
      </c>
      <c r="F165" s="1">
        <v>45742</v>
      </c>
      <c r="G165" s="1">
        <v>45755</v>
      </c>
      <c r="H165" s="1">
        <v>45755</v>
      </c>
      <c r="I165" s="1">
        <v>45760</v>
      </c>
      <c r="J165" t="s">
        <v>32</v>
      </c>
      <c r="K165">
        <v>95</v>
      </c>
      <c r="L165">
        <v>470.92</v>
      </c>
      <c r="M165">
        <v>44737.4</v>
      </c>
      <c r="N165">
        <v>13</v>
      </c>
      <c r="O165">
        <f>Orders[[#This Row],[Actual_Ship_Date]]-Orders[[#This Row],[Expected_Ship_Date]]</f>
        <v>0</v>
      </c>
    </row>
    <row r="166" spans="1:15" x14ac:dyDescent="0.25">
      <c r="A166" t="s">
        <v>211</v>
      </c>
      <c r="B166" t="s">
        <v>45</v>
      </c>
      <c r="C166" t="s">
        <v>51</v>
      </c>
      <c r="D166" t="s">
        <v>59</v>
      </c>
      <c r="E166" t="s">
        <v>57</v>
      </c>
      <c r="F166" s="1">
        <v>45681</v>
      </c>
      <c r="G166" s="1">
        <v>45696</v>
      </c>
      <c r="H166" s="1">
        <v>45696</v>
      </c>
      <c r="I166" s="1">
        <v>45697</v>
      </c>
      <c r="J166" t="s">
        <v>32</v>
      </c>
      <c r="K166">
        <v>56</v>
      </c>
      <c r="L166">
        <v>51.58</v>
      </c>
      <c r="M166">
        <v>2888.48</v>
      </c>
      <c r="N166">
        <v>15</v>
      </c>
      <c r="O166">
        <f>Orders[[#This Row],[Actual_Ship_Date]]-Orders[[#This Row],[Expected_Ship_Date]]</f>
        <v>0</v>
      </c>
    </row>
    <row r="167" spans="1:15" x14ac:dyDescent="0.25">
      <c r="A167" t="s">
        <v>212</v>
      </c>
      <c r="B167" t="s">
        <v>45</v>
      </c>
      <c r="C167" t="s">
        <v>25</v>
      </c>
      <c r="D167" t="s">
        <v>59</v>
      </c>
      <c r="E167" t="s">
        <v>31</v>
      </c>
      <c r="F167" s="1">
        <v>45723</v>
      </c>
      <c r="G167" s="1">
        <v>45732</v>
      </c>
      <c r="H167" s="1">
        <v>45737</v>
      </c>
      <c r="I167" s="1">
        <v>45742</v>
      </c>
      <c r="J167" t="s">
        <v>27</v>
      </c>
      <c r="K167">
        <v>14</v>
      </c>
      <c r="L167">
        <v>644</v>
      </c>
      <c r="M167">
        <v>9016</v>
      </c>
      <c r="N167">
        <v>14</v>
      </c>
      <c r="O167">
        <f>Orders[[#This Row],[Actual_Ship_Date]]-Orders[[#This Row],[Expected_Ship_Date]]</f>
        <v>5</v>
      </c>
    </row>
    <row r="168" spans="1:15" x14ac:dyDescent="0.25">
      <c r="A168" t="s">
        <v>213</v>
      </c>
      <c r="B168" t="s">
        <v>53</v>
      </c>
      <c r="C168" t="s">
        <v>21</v>
      </c>
      <c r="D168" t="s">
        <v>59</v>
      </c>
      <c r="E168" t="s">
        <v>26</v>
      </c>
      <c r="F168" s="1">
        <v>45768</v>
      </c>
      <c r="G168" s="1">
        <v>45781</v>
      </c>
      <c r="H168" s="1">
        <v>45781</v>
      </c>
      <c r="I168" s="1">
        <v>45784</v>
      </c>
      <c r="J168" t="s">
        <v>19</v>
      </c>
      <c r="K168">
        <v>116</v>
      </c>
      <c r="L168">
        <v>757.72</v>
      </c>
      <c r="M168">
        <v>87895.52</v>
      </c>
      <c r="N168">
        <v>13</v>
      </c>
      <c r="O168">
        <f>Orders[[#This Row],[Actual_Ship_Date]]-Orders[[#This Row],[Expected_Ship_Date]]</f>
        <v>0</v>
      </c>
    </row>
    <row r="169" spans="1:15" x14ac:dyDescent="0.25">
      <c r="A169" t="s">
        <v>214</v>
      </c>
      <c r="B169" t="s">
        <v>42</v>
      </c>
      <c r="C169" t="s">
        <v>21</v>
      </c>
      <c r="D169" t="s">
        <v>35</v>
      </c>
      <c r="E169" t="s">
        <v>18</v>
      </c>
      <c r="F169" s="1">
        <v>45721</v>
      </c>
      <c r="G169" s="1">
        <v>45735</v>
      </c>
      <c r="H169" s="1">
        <v>45736</v>
      </c>
      <c r="I169" s="1">
        <v>45739</v>
      </c>
      <c r="J169" t="s">
        <v>27</v>
      </c>
      <c r="K169">
        <v>137</v>
      </c>
      <c r="L169">
        <v>237.71</v>
      </c>
      <c r="M169">
        <v>32566.27</v>
      </c>
      <c r="N169">
        <v>15</v>
      </c>
      <c r="O169">
        <f>Orders[[#This Row],[Actual_Ship_Date]]-Orders[[#This Row],[Expected_Ship_Date]]</f>
        <v>1</v>
      </c>
    </row>
    <row r="170" spans="1:15" x14ac:dyDescent="0.25">
      <c r="A170" t="s">
        <v>215</v>
      </c>
      <c r="B170" t="s">
        <v>56</v>
      </c>
      <c r="C170" t="s">
        <v>25</v>
      </c>
      <c r="D170" t="s">
        <v>39</v>
      </c>
      <c r="E170" t="s">
        <v>63</v>
      </c>
      <c r="F170" s="1">
        <v>45735</v>
      </c>
      <c r="G170" s="1">
        <v>45740</v>
      </c>
      <c r="H170" s="1">
        <v>45742</v>
      </c>
      <c r="I170" s="1">
        <v>45745</v>
      </c>
      <c r="J170" t="s">
        <v>27</v>
      </c>
      <c r="K170">
        <v>25</v>
      </c>
      <c r="L170">
        <v>288.81</v>
      </c>
      <c r="M170">
        <v>7220.25</v>
      </c>
      <c r="N170">
        <v>7</v>
      </c>
      <c r="O170">
        <f>Orders[[#This Row],[Actual_Ship_Date]]-Orders[[#This Row],[Expected_Ship_Date]]</f>
        <v>2</v>
      </c>
    </row>
    <row r="171" spans="1:15" x14ac:dyDescent="0.25">
      <c r="A171" t="s">
        <v>216</v>
      </c>
      <c r="B171" t="s">
        <v>24</v>
      </c>
      <c r="C171" t="s">
        <v>21</v>
      </c>
      <c r="D171" t="s">
        <v>59</v>
      </c>
      <c r="E171" t="s">
        <v>40</v>
      </c>
      <c r="F171" s="1">
        <v>45749</v>
      </c>
      <c r="G171" s="1">
        <v>45758</v>
      </c>
      <c r="H171" s="1">
        <v>45758</v>
      </c>
      <c r="I171" s="1">
        <v>45762</v>
      </c>
      <c r="J171" t="s">
        <v>36</v>
      </c>
      <c r="K171">
        <v>191</v>
      </c>
      <c r="L171">
        <v>741.48</v>
      </c>
      <c r="M171">
        <v>141622.68</v>
      </c>
      <c r="N171">
        <v>9</v>
      </c>
      <c r="O171">
        <f>Orders[[#This Row],[Actual_Ship_Date]]-Orders[[#This Row],[Expected_Ship_Date]]</f>
        <v>0</v>
      </c>
    </row>
    <row r="172" spans="1:15" x14ac:dyDescent="0.25">
      <c r="A172" t="s">
        <v>217</v>
      </c>
      <c r="B172" t="s">
        <v>29</v>
      </c>
      <c r="C172" t="s">
        <v>43</v>
      </c>
      <c r="D172" t="s">
        <v>17</v>
      </c>
      <c r="E172" t="s">
        <v>40</v>
      </c>
      <c r="F172" s="1">
        <v>45759</v>
      </c>
      <c r="G172" s="1">
        <v>45762</v>
      </c>
      <c r="H172" s="1">
        <v>45762</v>
      </c>
      <c r="I172" s="1">
        <v>45766</v>
      </c>
      <c r="J172" t="s">
        <v>36</v>
      </c>
      <c r="K172">
        <v>196</v>
      </c>
      <c r="L172">
        <v>582.30999999999995</v>
      </c>
      <c r="M172">
        <v>114132.76</v>
      </c>
      <c r="N172">
        <v>3</v>
      </c>
      <c r="O172">
        <f>Orders[[#This Row],[Actual_Ship_Date]]-Orders[[#This Row],[Expected_Ship_Date]]</f>
        <v>0</v>
      </c>
    </row>
    <row r="173" spans="1:15" x14ac:dyDescent="0.25">
      <c r="A173" t="s">
        <v>218</v>
      </c>
      <c r="B173" t="s">
        <v>38</v>
      </c>
      <c r="C173" t="s">
        <v>51</v>
      </c>
      <c r="D173" t="s">
        <v>17</v>
      </c>
      <c r="E173" t="s">
        <v>26</v>
      </c>
      <c r="F173" s="1">
        <v>45758</v>
      </c>
      <c r="G173" s="1">
        <v>45768</v>
      </c>
      <c r="H173" s="1">
        <v>45768</v>
      </c>
      <c r="I173" s="1">
        <v>45770</v>
      </c>
      <c r="J173" t="s">
        <v>19</v>
      </c>
      <c r="K173">
        <v>170</v>
      </c>
      <c r="L173">
        <v>320.88</v>
      </c>
      <c r="M173">
        <v>54549.599999999999</v>
      </c>
      <c r="N173">
        <v>10</v>
      </c>
      <c r="O173">
        <f>Orders[[#This Row],[Actual_Ship_Date]]-Orders[[#This Row],[Expected_Ship_Date]]</f>
        <v>0</v>
      </c>
    </row>
    <row r="174" spans="1:15" x14ac:dyDescent="0.25">
      <c r="A174" t="s">
        <v>219</v>
      </c>
      <c r="B174" t="s">
        <v>24</v>
      </c>
      <c r="C174" t="s">
        <v>21</v>
      </c>
      <c r="D174" t="s">
        <v>59</v>
      </c>
      <c r="E174" t="s">
        <v>40</v>
      </c>
      <c r="F174" s="1">
        <v>45744</v>
      </c>
      <c r="G174" s="1">
        <v>45754</v>
      </c>
      <c r="H174" s="1">
        <v>45754</v>
      </c>
      <c r="I174" s="1">
        <v>45757</v>
      </c>
      <c r="J174" t="s">
        <v>36</v>
      </c>
      <c r="K174">
        <v>151</v>
      </c>
      <c r="L174">
        <v>129.97999999999999</v>
      </c>
      <c r="M174">
        <v>19626.98</v>
      </c>
      <c r="N174">
        <v>10</v>
      </c>
      <c r="O174">
        <f>Orders[[#This Row],[Actual_Ship_Date]]-Orders[[#This Row],[Expected_Ship_Date]]</f>
        <v>0</v>
      </c>
    </row>
    <row r="175" spans="1:15" x14ac:dyDescent="0.25">
      <c r="A175" t="s">
        <v>220</v>
      </c>
      <c r="B175" t="s">
        <v>42</v>
      </c>
      <c r="C175" t="s">
        <v>25</v>
      </c>
      <c r="D175" t="s">
        <v>59</v>
      </c>
      <c r="E175" t="s">
        <v>40</v>
      </c>
      <c r="F175" s="1">
        <v>45693</v>
      </c>
      <c r="G175" s="1">
        <v>45699</v>
      </c>
      <c r="H175" s="1">
        <v>45699</v>
      </c>
      <c r="I175" s="1">
        <v>45700</v>
      </c>
      <c r="J175" t="s">
        <v>19</v>
      </c>
      <c r="K175">
        <v>104</v>
      </c>
      <c r="L175">
        <v>777.81</v>
      </c>
      <c r="M175">
        <v>80892.240000000005</v>
      </c>
      <c r="N175">
        <v>6</v>
      </c>
      <c r="O175">
        <f>Orders[[#This Row],[Actual_Ship_Date]]-Orders[[#This Row],[Expected_Ship_Date]]</f>
        <v>0</v>
      </c>
    </row>
    <row r="176" spans="1:15" x14ac:dyDescent="0.25">
      <c r="A176" t="s">
        <v>221</v>
      </c>
      <c r="B176" t="s">
        <v>78</v>
      </c>
      <c r="C176" t="s">
        <v>16</v>
      </c>
      <c r="D176" t="s">
        <v>39</v>
      </c>
      <c r="E176" t="s">
        <v>26</v>
      </c>
      <c r="F176" s="1">
        <v>45715</v>
      </c>
      <c r="G176" s="1">
        <v>45721</v>
      </c>
      <c r="H176" s="1">
        <v>45723</v>
      </c>
      <c r="I176" s="1">
        <v>45726</v>
      </c>
      <c r="J176" t="s">
        <v>27</v>
      </c>
      <c r="K176">
        <v>130</v>
      </c>
      <c r="L176">
        <v>182.15</v>
      </c>
      <c r="M176">
        <v>23679.5</v>
      </c>
      <c r="N176">
        <v>8</v>
      </c>
      <c r="O176">
        <f>Orders[[#This Row],[Actual_Ship_Date]]-Orders[[#This Row],[Expected_Ship_Date]]</f>
        <v>2</v>
      </c>
    </row>
    <row r="177" spans="1:15" x14ac:dyDescent="0.25">
      <c r="A177" t="s">
        <v>222</v>
      </c>
      <c r="B177" t="s">
        <v>42</v>
      </c>
      <c r="C177" t="s">
        <v>25</v>
      </c>
      <c r="D177" t="s">
        <v>59</v>
      </c>
      <c r="E177" t="s">
        <v>26</v>
      </c>
      <c r="F177" s="1">
        <v>45773</v>
      </c>
      <c r="G177" s="1">
        <v>45787</v>
      </c>
      <c r="H177" s="1">
        <v>45788</v>
      </c>
      <c r="I177" s="1">
        <v>45789</v>
      </c>
      <c r="J177" t="s">
        <v>27</v>
      </c>
      <c r="K177">
        <v>86</v>
      </c>
      <c r="L177">
        <v>572.65</v>
      </c>
      <c r="M177">
        <v>49247.9</v>
      </c>
      <c r="N177">
        <v>15</v>
      </c>
      <c r="O177">
        <f>Orders[[#This Row],[Actual_Ship_Date]]-Orders[[#This Row],[Expected_Ship_Date]]</f>
        <v>1</v>
      </c>
    </row>
    <row r="178" spans="1:15" x14ac:dyDescent="0.25">
      <c r="A178" t="s">
        <v>223</v>
      </c>
      <c r="B178" t="s">
        <v>45</v>
      </c>
      <c r="C178" t="s">
        <v>43</v>
      </c>
      <c r="D178" t="s">
        <v>22</v>
      </c>
      <c r="E178" t="s">
        <v>18</v>
      </c>
      <c r="F178" s="1">
        <v>45749</v>
      </c>
      <c r="G178" s="1">
        <v>45763</v>
      </c>
      <c r="H178" s="1">
        <v>45766</v>
      </c>
      <c r="I178" s="1">
        <v>45768</v>
      </c>
      <c r="J178" t="s">
        <v>27</v>
      </c>
      <c r="K178">
        <v>135</v>
      </c>
      <c r="L178">
        <v>202.24</v>
      </c>
      <c r="M178">
        <v>27302.400000000001</v>
      </c>
      <c r="N178">
        <v>17</v>
      </c>
      <c r="O178">
        <f>Orders[[#This Row],[Actual_Ship_Date]]-Orders[[#This Row],[Expected_Ship_Date]]</f>
        <v>3</v>
      </c>
    </row>
    <row r="179" spans="1:15" x14ac:dyDescent="0.25">
      <c r="A179" t="s">
        <v>224</v>
      </c>
      <c r="B179" t="s">
        <v>42</v>
      </c>
      <c r="C179" t="s">
        <v>16</v>
      </c>
      <c r="D179" t="s">
        <v>59</v>
      </c>
      <c r="E179" t="s">
        <v>18</v>
      </c>
      <c r="F179" s="1">
        <v>45661</v>
      </c>
      <c r="G179" s="1">
        <v>45669</v>
      </c>
      <c r="H179" s="1">
        <v>45671</v>
      </c>
      <c r="I179" s="1">
        <v>45676</v>
      </c>
      <c r="J179" t="s">
        <v>27</v>
      </c>
      <c r="K179">
        <v>146</v>
      </c>
      <c r="L179">
        <v>123.36</v>
      </c>
      <c r="M179">
        <v>18010.560000000001</v>
      </c>
      <c r="N179">
        <v>10</v>
      </c>
      <c r="O179">
        <f>Orders[[#This Row],[Actual_Ship_Date]]-Orders[[#This Row],[Expected_Ship_Date]]</f>
        <v>2</v>
      </c>
    </row>
    <row r="180" spans="1:15" x14ac:dyDescent="0.25">
      <c r="A180" t="s">
        <v>225</v>
      </c>
      <c r="B180" t="s">
        <v>42</v>
      </c>
      <c r="C180" t="s">
        <v>43</v>
      </c>
      <c r="D180" t="s">
        <v>59</v>
      </c>
      <c r="E180" t="s">
        <v>40</v>
      </c>
      <c r="F180" s="1">
        <v>45749</v>
      </c>
      <c r="G180" s="1">
        <v>45763</v>
      </c>
      <c r="H180" s="1">
        <v>45764</v>
      </c>
      <c r="I180" s="1">
        <v>45769</v>
      </c>
      <c r="J180" t="s">
        <v>27</v>
      </c>
      <c r="K180">
        <v>109</v>
      </c>
      <c r="L180">
        <v>702.49</v>
      </c>
      <c r="M180">
        <v>76571.41</v>
      </c>
      <c r="N180">
        <v>15</v>
      </c>
      <c r="O180">
        <f>Orders[[#This Row],[Actual_Ship_Date]]-Orders[[#This Row],[Expected_Ship_Date]]</f>
        <v>1</v>
      </c>
    </row>
    <row r="181" spans="1:15" x14ac:dyDescent="0.25">
      <c r="A181" t="s">
        <v>226</v>
      </c>
      <c r="B181" t="s">
        <v>78</v>
      </c>
      <c r="C181" t="s">
        <v>43</v>
      </c>
      <c r="D181" t="s">
        <v>39</v>
      </c>
      <c r="E181" t="s">
        <v>63</v>
      </c>
      <c r="F181" s="1">
        <v>45667</v>
      </c>
      <c r="G181" s="1">
        <v>45677</v>
      </c>
      <c r="H181" s="1">
        <v>45678</v>
      </c>
      <c r="I181" s="1">
        <v>45683</v>
      </c>
      <c r="J181" t="s">
        <v>27</v>
      </c>
      <c r="K181">
        <v>146</v>
      </c>
      <c r="L181">
        <v>549.23</v>
      </c>
      <c r="M181">
        <v>80187.58</v>
      </c>
      <c r="N181">
        <v>11</v>
      </c>
      <c r="O181">
        <f>Orders[[#This Row],[Actual_Ship_Date]]-Orders[[#This Row],[Expected_Ship_Date]]</f>
        <v>1</v>
      </c>
    </row>
    <row r="182" spans="1:15" x14ac:dyDescent="0.25">
      <c r="A182" t="s">
        <v>227</v>
      </c>
      <c r="B182" t="s">
        <v>24</v>
      </c>
      <c r="C182" t="s">
        <v>34</v>
      </c>
      <c r="D182" t="s">
        <v>59</v>
      </c>
      <c r="E182" t="s">
        <v>63</v>
      </c>
      <c r="F182" s="1">
        <v>45774</v>
      </c>
      <c r="G182" s="1">
        <v>45777</v>
      </c>
      <c r="H182" s="1">
        <v>45782</v>
      </c>
      <c r="I182" s="1">
        <v>45783</v>
      </c>
      <c r="J182" t="s">
        <v>27</v>
      </c>
      <c r="K182">
        <v>82</v>
      </c>
      <c r="L182">
        <v>152.49</v>
      </c>
      <c r="M182">
        <v>12504.18</v>
      </c>
      <c r="N182">
        <v>8</v>
      </c>
      <c r="O182">
        <f>Orders[[#This Row],[Actual_Ship_Date]]-Orders[[#This Row],[Expected_Ship_Date]]</f>
        <v>5</v>
      </c>
    </row>
    <row r="183" spans="1:15" x14ac:dyDescent="0.25">
      <c r="A183" t="s">
        <v>228</v>
      </c>
      <c r="B183" t="s">
        <v>56</v>
      </c>
      <c r="C183" t="s">
        <v>43</v>
      </c>
      <c r="D183" t="s">
        <v>59</v>
      </c>
      <c r="E183" t="s">
        <v>63</v>
      </c>
      <c r="F183" s="1">
        <v>45772</v>
      </c>
      <c r="G183" s="1">
        <v>45779</v>
      </c>
      <c r="H183" s="1">
        <v>45784</v>
      </c>
      <c r="I183" s="1">
        <v>45785</v>
      </c>
      <c r="J183" t="s">
        <v>27</v>
      </c>
      <c r="K183">
        <v>167</v>
      </c>
      <c r="L183">
        <v>813.55</v>
      </c>
      <c r="M183">
        <v>135862.85</v>
      </c>
      <c r="N183">
        <v>12</v>
      </c>
      <c r="O183">
        <f>Orders[[#This Row],[Actual_Ship_Date]]-Orders[[#This Row],[Expected_Ship_Date]]</f>
        <v>5</v>
      </c>
    </row>
    <row r="184" spans="1:15" x14ac:dyDescent="0.25">
      <c r="A184" t="s">
        <v>229</v>
      </c>
      <c r="B184" t="s">
        <v>48</v>
      </c>
      <c r="C184" t="s">
        <v>46</v>
      </c>
      <c r="D184" t="s">
        <v>17</v>
      </c>
      <c r="E184" t="s">
        <v>31</v>
      </c>
      <c r="F184" s="1">
        <v>45726</v>
      </c>
      <c r="G184" s="1">
        <v>45730</v>
      </c>
      <c r="H184" s="1">
        <v>45732</v>
      </c>
      <c r="I184" s="1">
        <v>45734</v>
      </c>
      <c r="J184" t="s">
        <v>27</v>
      </c>
      <c r="K184">
        <v>153</v>
      </c>
      <c r="L184">
        <v>143.75</v>
      </c>
      <c r="M184">
        <v>21993.75</v>
      </c>
      <c r="N184">
        <v>6</v>
      </c>
      <c r="O184">
        <f>Orders[[#This Row],[Actual_Ship_Date]]-Orders[[#This Row],[Expected_Ship_Date]]</f>
        <v>2</v>
      </c>
    </row>
    <row r="185" spans="1:15" x14ac:dyDescent="0.25">
      <c r="A185" t="s">
        <v>230</v>
      </c>
      <c r="B185" t="s">
        <v>29</v>
      </c>
      <c r="C185" t="s">
        <v>30</v>
      </c>
      <c r="D185" t="s">
        <v>17</v>
      </c>
      <c r="E185" t="s">
        <v>57</v>
      </c>
      <c r="F185" s="1">
        <v>45763</v>
      </c>
      <c r="G185" s="1">
        <v>45766</v>
      </c>
      <c r="H185" s="1">
        <v>45766</v>
      </c>
      <c r="I185" s="1">
        <v>45767</v>
      </c>
      <c r="J185" t="s">
        <v>36</v>
      </c>
      <c r="K185">
        <v>151</v>
      </c>
      <c r="L185">
        <v>362.85</v>
      </c>
      <c r="M185">
        <v>54790.35</v>
      </c>
      <c r="N185">
        <v>3</v>
      </c>
      <c r="O185">
        <f>Orders[[#This Row],[Actual_Ship_Date]]-Orders[[#This Row],[Expected_Ship_Date]]</f>
        <v>0</v>
      </c>
    </row>
    <row r="186" spans="1:15" x14ac:dyDescent="0.25">
      <c r="A186" t="s">
        <v>231</v>
      </c>
      <c r="B186" t="s">
        <v>53</v>
      </c>
      <c r="C186" t="s">
        <v>16</v>
      </c>
      <c r="D186" t="s">
        <v>35</v>
      </c>
      <c r="E186" t="s">
        <v>26</v>
      </c>
      <c r="F186" s="1">
        <v>45740</v>
      </c>
      <c r="G186" s="1">
        <v>45747</v>
      </c>
      <c r="H186" s="1">
        <v>45748</v>
      </c>
      <c r="I186" s="1">
        <v>45750</v>
      </c>
      <c r="J186" t="s">
        <v>27</v>
      </c>
      <c r="K186">
        <v>180</v>
      </c>
      <c r="L186">
        <v>354.09</v>
      </c>
      <c r="M186">
        <v>63736.2</v>
      </c>
      <c r="N186">
        <v>8</v>
      </c>
      <c r="O186">
        <f>Orders[[#This Row],[Actual_Ship_Date]]-Orders[[#This Row],[Expected_Ship_Date]]</f>
        <v>1</v>
      </c>
    </row>
    <row r="187" spans="1:15" x14ac:dyDescent="0.25">
      <c r="A187" t="s">
        <v>232</v>
      </c>
      <c r="B187" t="s">
        <v>24</v>
      </c>
      <c r="C187" t="s">
        <v>46</v>
      </c>
      <c r="D187" t="s">
        <v>39</v>
      </c>
      <c r="E187" t="s">
        <v>26</v>
      </c>
      <c r="F187" s="1">
        <v>45714</v>
      </c>
      <c r="G187" s="1">
        <v>45723</v>
      </c>
      <c r="H187" s="1">
        <v>45724</v>
      </c>
      <c r="I187" s="1">
        <v>45728</v>
      </c>
      <c r="J187" t="s">
        <v>27</v>
      </c>
      <c r="K187">
        <v>160</v>
      </c>
      <c r="L187">
        <v>134.96</v>
      </c>
      <c r="M187">
        <v>21593.599999999999</v>
      </c>
      <c r="N187">
        <v>10</v>
      </c>
      <c r="O187">
        <f>Orders[[#This Row],[Actual_Ship_Date]]-Orders[[#This Row],[Expected_Ship_Date]]</f>
        <v>1</v>
      </c>
    </row>
    <row r="188" spans="1:15" x14ac:dyDescent="0.25">
      <c r="A188" t="s">
        <v>233</v>
      </c>
      <c r="B188" t="s">
        <v>56</v>
      </c>
      <c r="C188" t="s">
        <v>30</v>
      </c>
      <c r="D188" t="s">
        <v>22</v>
      </c>
      <c r="E188" t="s">
        <v>26</v>
      </c>
      <c r="F188" s="1">
        <v>45755</v>
      </c>
      <c r="G188" s="1">
        <v>45763</v>
      </c>
      <c r="H188" s="1">
        <v>45765</v>
      </c>
      <c r="I188" s="1">
        <v>45770</v>
      </c>
      <c r="J188" t="s">
        <v>32</v>
      </c>
      <c r="K188">
        <v>66</v>
      </c>
      <c r="L188">
        <v>404.5</v>
      </c>
      <c r="M188">
        <v>26697</v>
      </c>
      <c r="N188">
        <v>10</v>
      </c>
      <c r="O188">
        <f>Orders[[#This Row],[Actual_Ship_Date]]-Orders[[#This Row],[Expected_Ship_Date]]</f>
        <v>2</v>
      </c>
    </row>
    <row r="189" spans="1:15" x14ac:dyDescent="0.25">
      <c r="A189" t="s">
        <v>234</v>
      </c>
      <c r="B189" t="s">
        <v>48</v>
      </c>
      <c r="C189" t="s">
        <v>46</v>
      </c>
      <c r="D189" t="s">
        <v>22</v>
      </c>
      <c r="E189" t="s">
        <v>26</v>
      </c>
      <c r="F189" s="1">
        <v>45670</v>
      </c>
      <c r="G189" s="1">
        <v>45673</v>
      </c>
      <c r="H189" s="1">
        <v>45673</v>
      </c>
      <c r="I189" s="1">
        <v>45677</v>
      </c>
      <c r="J189" t="s">
        <v>36</v>
      </c>
      <c r="K189">
        <v>45</v>
      </c>
      <c r="L189">
        <v>694.25</v>
      </c>
      <c r="M189">
        <v>31241.25</v>
      </c>
      <c r="N189">
        <v>3</v>
      </c>
      <c r="O189">
        <f>Orders[[#This Row],[Actual_Ship_Date]]-Orders[[#This Row],[Expected_Ship_Date]]</f>
        <v>0</v>
      </c>
    </row>
    <row r="190" spans="1:15" x14ac:dyDescent="0.25">
      <c r="A190" t="s">
        <v>235</v>
      </c>
      <c r="B190" t="s">
        <v>38</v>
      </c>
      <c r="C190" t="s">
        <v>30</v>
      </c>
      <c r="D190" t="s">
        <v>22</v>
      </c>
      <c r="E190" t="s">
        <v>26</v>
      </c>
      <c r="F190" s="1">
        <v>45721</v>
      </c>
      <c r="G190" s="1">
        <v>45732</v>
      </c>
      <c r="H190" s="1">
        <v>45733</v>
      </c>
      <c r="I190" s="1">
        <v>45737</v>
      </c>
      <c r="J190" t="s">
        <v>27</v>
      </c>
      <c r="K190">
        <v>132</v>
      </c>
      <c r="L190">
        <v>34.35</v>
      </c>
      <c r="M190">
        <v>4534.2</v>
      </c>
      <c r="N190">
        <v>12</v>
      </c>
      <c r="O190">
        <f>Orders[[#This Row],[Actual_Ship_Date]]-Orders[[#This Row],[Expected_Ship_Date]]</f>
        <v>1</v>
      </c>
    </row>
    <row r="191" spans="1:15" x14ac:dyDescent="0.25">
      <c r="A191" t="s">
        <v>236</v>
      </c>
      <c r="B191" t="s">
        <v>56</v>
      </c>
      <c r="C191" t="s">
        <v>51</v>
      </c>
      <c r="D191" t="s">
        <v>35</v>
      </c>
      <c r="E191" t="s">
        <v>18</v>
      </c>
      <c r="F191" s="1">
        <v>45732</v>
      </c>
      <c r="G191" s="1">
        <v>45740</v>
      </c>
      <c r="H191" s="1">
        <v>45740</v>
      </c>
      <c r="I191" s="1">
        <v>45741</v>
      </c>
      <c r="J191" t="s">
        <v>36</v>
      </c>
      <c r="K191">
        <v>172</v>
      </c>
      <c r="L191">
        <v>576.54999999999995</v>
      </c>
      <c r="M191">
        <v>99166.6</v>
      </c>
      <c r="N191">
        <v>8</v>
      </c>
      <c r="O191">
        <f>Orders[[#This Row],[Actual_Ship_Date]]-Orders[[#This Row],[Expected_Ship_Date]]</f>
        <v>0</v>
      </c>
    </row>
    <row r="192" spans="1:15" x14ac:dyDescent="0.25">
      <c r="A192" t="s">
        <v>237</v>
      </c>
      <c r="B192" t="s">
        <v>29</v>
      </c>
      <c r="C192" t="s">
        <v>34</v>
      </c>
      <c r="D192" t="s">
        <v>59</v>
      </c>
      <c r="E192" t="s">
        <v>63</v>
      </c>
      <c r="F192" s="1">
        <v>45675</v>
      </c>
      <c r="G192" s="1">
        <v>45682</v>
      </c>
      <c r="H192" s="1">
        <v>45685</v>
      </c>
      <c r="I192" s="1">
        <v>45688</v>
      </c>
      <c r="J192" t="s">
        <v>27</v>
      </c>
      <c r="K192">
        <v>98</v>
      </c>
      <c r="L192">
        <v>52.78</v>
      </c>
      <c r="M192">
        <v>5172.4399999999996</v>
      </c>
      <c r="N192">
        <v>10</v>
      </c>
      <c r="O192">
        <f>Orders[[#This Row],[Actual_Ship_Date]]-Orders[[#This Row],[Expected_Ship_Date]]</f>
        <v>3</v>
      </c>
    </row>
    <row r="193" spans="1:15" x14ac:dyDescent="0.25">
      <c r="A193" t="s">
        <v>238</v>
      </c>
      <c r="B193" t="s">
        <v>48</v>
      </c>
      <c r="C193" t="s">
        <v>16</v>
      </c>
      <c r="D193" t="s">
        <v>22</v>
      </c>
      <c r="E193" t="s">
        <v>31</v>
      </c>
      <c r="F193" s="1">
        <v>45694</v>
      </c>
      <c r="G193" s="1">
        <v>45698</v>
      </c>
      <c r="H193" s="1">
        <v>45699</v>
      </c>
      <c r="I193" s="1">
        <v>45704</v>
      </c>
      <c r="J193" t="s">
        <v>27</v>
      </c>
      <c r="K193">
        <v>145</v>
      </c>
      <c r="L193">
        <v>248.57</v>
      </c>
      <c r="M193">
        <v>36042.65</v>
      </c>
      <c r="N193">
        <v>5</v>
      </c>
      <c r="O193">
        <f>Orders[[#This Row],[Actual_Ship_Date]]-Orders[[#This Row],[Expected_Ship_Date]]</f>
        <v>1</v>
      </c>
    </row>
    <row r="194" spans="1:15" x14ac:dyDescent="0.25">
      <c r="A194" t="s">
        <v>239</v>
      </c>
      <c r="B194" t="s">
        <v>45</v>
      </c>
      <c r="C194" t="s">
        <v>21</v>
      </c>
      <c r="D194" t="s">
        <v>17</v>
      </c>
      <c r="E194" t="s">
        <v>31</v>
      </c>
      <c r="F194" s="1">
        <v>45708</v>
      </c>
      <c r="G194" s="1">
        <v>45716</v>
      </c>
      <c r="H194" s="1">
        <v>45721</v>
      </c>
      <c r="I194" s="1">
        <v>45724</v>
      </c>
      <c r="J194" t="s">
        <v>27</v>
      </c>
      <c r="K194">
        <v>98</v>
      </c>
      <c r="L194">
        <v>645.4</v>
      </c>
      <c r="M194">
        <v>63249.2</v>
      </c>
      <c r="N194">
        <v>13</v>
      </c>
      <c r="O194">
        <f>Orders[[#This Row],[Actual_Ship_Date]]-Orders[[#This Row],[Expected_Ship_Date]]</f>
        <v>5</v>
      </c>
    </row>
    <row r="195" spans="1:15" x14ac:dyDescent="0.25">
      <c r="A195" t="s">
        <v>240</v>
      </c>
      <c r="B195" t="s">
        <v>15</v>
      </c>
      <c r="C195" t="s">
        <v>43</v>
      </c>
      <c r="D195" t="s">
        <v>59</v>
      </c>
      <c r="E195" t="s">
        <v>63</v>
      </c>
      <c r="F195" s="1">
        <v>45663</v>
      </c>
      <c r="G195" s="1">
        <v>45666</v>
      </c>
      <c r="H195" s="1">
        <v>45666</v>
      </c>
      <c r="I195" s="1">
        <v>45669</v>
      </c>
      <c r="J195" t="s">
        <v>36</v>
      </c>
      <c r="K195">
        <v>43</v>
      </c>
      <c r="L195">
        <v>521.23</v>
      </c>
      <c r="M195">
        <v>22412.89</v>
      </c>
      <c r="N195">
        <v>3</v>
      </c>
      <c r="O195">
        <f>Orders[[#This Row],[Actual_Ship_Date]]-Orders[[#This Row],[Expected_Ship_Date]]</f>
        <v>0</v>
      </c>
    </row>
    <row r="196" spans="1:15" x14ac:dyDescent="0.25">
      <c r="A196" t="s">
        <v>241</v>
      </c>
      <c r="B196" t="s">
        <v>15</v>
      </c>
      <c r="C196" t="s">
        <v>30</v>
      </c>
      <c r="D196" t="s">
        <v>17</v>
      </c>
      <c r="E196" t="s">
        <v>57</v>
      </c>
      <c r="F196" s="1">
        <v>45698</v>
      </c>
      <c r="G196" s="1">
        <v>45703</v>
      </c>
      <c r="H196" s="1">
        <v>45704</v>
      </c>
      <c r="I196" s="1">
        <v>45709</v>
      </c>
      <c r="J196" t="s">
        <v>27</v>
      </c>
      <c r="K196">
        <v>81</v>
      </c>
      <c r="L196">
        <v>510.76</v>
      </c>
      <c r="M196">
        <v>41371.56</v>
      </c>
      <c r="N196">
        <v>6</v>
      </c>
      <c r="O196">
        <f>Orders[[#This Row],[Actual_Ship_Date]]-Orders[[#This Row],[Expected_Ship_Date]]</f>
        <v>1</v>
      </c>
    </row>
    <row r="197" spans="1:15" x14ac:dyDescent="0.25">
      <c r="A197" t="s">
        <v>242</v>
      </c>
      <c r="B197" t="s">
        <v>29</v>
      </c>
      <c r="C197" t="s">
        <v>30</v>
      </c>
      <c r="D197" t="s">
        <v>59</v>
      </c>
      <c r="E197" t="s">
        <v>40</v>
      </c>
      <c r="F197" s="1">
        <v>45718</v>
      </c>
      <c r="G197" s="1">
        <v>45721</v>
      </c>
      <c r="H197" s="1">
        <v>45721</v>
      </c>
      <c r="I197" s="1">
        <v>45724</v>
      </c>
      <c r="J197" t="s">
        <v>19</v>
      </c>
      <c r="K197">
        <v>154</v>
      </c>
      <c r="L197">
        <v>271.91000000000003</v>
      </c>
      <c r="M197">
        <v>41874.14</v>
      </c>
      <c r="N197">
        <v>3</v>
      </c>
      <c r="O197">
        <f>Orders[[#This Row],[Actual_Ship_Date]]-Orders[[#This Row],[Expected_Ship_Date]]</f>
        <v>0</v>
      </c>
    </row>
    <row r="198" spans="1:15" x14ac:dyDescent="0.25">
      <c r="A198" t="s">
        <v>243</v>
      </c>
      <c r="B198" t="s">
        <v>78</v>
      </c>
      <c r="C198" t="s">
        <v>21</v>
      </c>
      <c r="D198" t="s">
        <v>22</v>
      </c>
      <c r="E198" t="s">
        <v>40</v>
      </c>
      <c r="F198" s="1">
        <v>45758</v>
      </c>
      <c r="G198" s="1">
        <v>45773</v>
      </c>
      <c r="H198" s="1">
        <v>45775</v>
      </c>
      <c r="I198" s="1">
        <v>45780</v>
      </c>
      <c r="J198" t="s">
        <v>27</v>
      </c>
      <c r="K198">
        <v>18</v>
      </c>
      <c r="L198">
        <v>502.24</v>
      </c>
      <c r="M198">
        <v>9040.32</v>
      </c>
      <c r="N198">
        <v>17</v>
      </c>
      <c r="O198">
        <f>Orders[[#This Row],[Actual_Ship_Date]]-Orders[[#This Row],[Expected_Ship_Date]]</f>
        <v>2</v>
      </c>
    </row>
    <row r="199" spans="1:15" x14ac:dyDescent="0.25">
      <c r="A199" t="s">
        <v>244</v>
      </c>
      <c r="B199" t="s">
        <v>78</v>
      </c>
      <c r="C199" t="s">
        <v>21</v>
      </c>
      <c r="D199" t="s">
        <v>22</v>
      </c>
      <c r="E199" t="s">
        <v>18</v>
      </c>
      <c r="F199" s="1">
        <v>45689</v>
      </c>
      <c r="G199" s="1">
        <v>45692</v>
      </c>
      <c r="H199" s="1">
        <v>45694</v>
      </c>
      <c r="I199" s="1">
        <v>45695</v>
      </c>
      <c r="J199" t="s">
        <v>32</v>
      </c>
      <c r="K199">
        <v>117</v>
      </c>
      <c r="L199">
        <v>276.93</v>
      </c>
      <c r="M199">
        <v>32400.81</v>
      </c>
      <c r="N199">
        <v>5</v>
      </c>
      <c r="O199">
        <f>Orders[[#This Row],[Actual_Ship_Date]]-Orders[[#This Row],[Expected_Ship_Date]]</f>
        <v>2</v>
      </c>
    </row>
    <row r="200" spans="1:15" x14ac:dyDescent="0.25">
      <c r="A200" t="s">
        <v>245</v>
      </c>
      <c r="B200" t="s">
        <v>78</v>
      </c>
      <c r="C200" t="s">
        <v>34</v>
      </c>
      <c r="D200" t="s">
        <v>17</v>
      </c>
      <c r="E200" t="s">
        <v>57</v>
      </c>
      <c r="F200" s="1">
        <v>45722</v>
      </c>
      <c r="G200" s="1">
        <v>45737</v>
      </c>
      <c r="H200" s="1">
        <v>45739</v>
      </c>
      <c r="I200" s="1">
        <v>45743</v>
      </c>
      <c r="J200" t="s">
        <v>27</v>
      </c>
      <c r="K200">
        <v>193</v>
      </c>
      <c r="L200">
        <v>622.38</v>
      </c>
      <c r="M200">
        <v>120119.34</v>
      </c>
      <c r="N200">
        <v>17</v>
      </c>
      <c r="O200">
        <f>Orders[[#This Row],[Actual_Ship_Date]]-Orders[[#This Row],[Expected_Ship_Date]]</f>
        <v>2</v>
      </c>
    </row>
    <row r="201" spans="1:15" x14ac:dyDescent="0.25">
      <c r="A201" t="s">
        <v>246</v>
      </c>
      <c r="B201" t="s">
        <v>15</v>
      </c>
      <c r="C201" t="s">
        <v>46</v>
      </c>
      <c r="D201" t="s">
        <v>17</v>
      </c>
      <c r="E201" t="s">
        <v>57</v>
      </c>
      <c r="F201" s="1">
        <v>45742</v>
      </c>
      <c r="G201" s="1">
        <v>45752</v>
      </c>
      <c r="H201" s="1">
        <v>45754</v>
      </c>
      <c r="I201" s="1">
        <v>45758</v>
      </c>
      <c r="J201" t="s">
        <v>27</v>
      </c>
      <c r="K201">
        <v>49</v>
      </c>
      <c r="L201">
        <v>398.82</v>
      </c>
      <c r="M201">
        <v>19542.18</v>
      </c>
      <c r="N201">
        <v>12</v>
      </c>
      <c r="O201">
        <f>Orders[[#This Row],[Actual_Ship_Date]]-Orders[[#This Row],[Expected_Ship_Date]]</f>
        <v>2</v>
      </c>
    </row>
    <row r="202" spans="1:15" x14ac:dyDescent="0.25">
      <c r="A202" t="s">
        <v>247</v>
      </c>
      <c r="B202" t="s">
        <v>56</v>
      </c>
      <c r="C202" t="s">
        <v>25</v>
      </c>
      <c r="D202" t="s">
        <v>22</v>
      </c>
      <c r="E202" t="s">
        <v>57</v>
      </c>
      <c r="F202" s="1">
        <v>45744</v>
      </c>
      <c r="G202" s="1">
        <v>45759</v>
      </c>
      <c r="H202" s="1">
        <v>45764</v>
      </c>
      <c r="I202" s="1">
        <v>45767</v>
      </c>
      <c r="J202" t="s">
        <v>27</v>
      </c>
      <c r="K202">
        <v>54</v>
      </c>
      <c r="L202">
        <v>814.38</v>
      </c>
      <c r="M202">
        <v>43976.52</v>
      </c>
      <c r="N202">
        <v>20</v>
      </c>
      <c r="O202">
        <f>Orders[[#This Row],[Actual_Ship_Date]]-Orders[[#This Row],[Expected_Ship_Date]]</f>
        <v>5</v>
      </c>
    </row>
    <row r="203" spans="1:15" x14ac:dyDescent="0.25">
      <c r="A203" t="s">
        <v>248</v>
      </c>
      <c r="B203" t="s">
        <v>24</v>
      </c>
      <c r="C203" t="s">
        <v>25</v>
      </c>
      <c r="D203" t="s">
        <v>59</v>
      </c>
      <c r="E203" t="s">
        <v>31</v>
      </c>
      <c r="F203" s="1">
        <v>45756</v>
      </c>
      <c r="G203" s="1">
        <v>45763</v>
      </c>
      <c r="H203" s="1">
        <v>45766</v>
      </c>
      <c r="I203" s="1">
        <v>45768</v>
      </c>
      <c r="J203" t="s">
        <v>27</v>
      </c>
      <c r="K203">
        <v>130</v>
      </c>
      <c r="L203">
        <v>279.73</v>
      </c>
      <c r="M203">
        <v>36364.9</v>
      </c>
      <c r="N203">
        <v>10</v>
      </c>
      <c r="O203">
        <f>Orders[[#This Row],[Actual_Ship_Date]]-Orders[[#This Row],[Expected_Ship_Date]]</f>
        <v>3</v>
      </c>
    </row>
    <row r="204" spans="1:15" x14ac:dyDescent="0.25">
      <c r="A204" t="s">
        <v>249</v>
      </c>
      <c r="B204" t="s">
        <v>78</v>
      </c>
      <c r="C204" t="s">
        <v>25</v>
      </c>
      <c r="D204" t="s">
        <v>35</v>
      </c>
      <c r="E204" t="s">
        <v>57</v>
      </c>
      <c r="F204" s="1">
        <v>45731</v>
      </c>
      <c r="G204" s="1">
        <v>45744</v>
      </c>
      <c r="H204" s="1">
        <v>45746</v>
      </c>
      <c r="I204" s="1">
        <v>45750</v>
      </c>
      <c r="J204" t="s">
        <v>27</v>
      </c>
      <c r="K204">
        <v>106</v>
      </c>
      <c r="L204">
        <v>698.35</v>
      </c>
      <c r="M204">
        <v>74025.100000000006</v>
      </c>
      <c r="N204">
        <v>15</v>
      </c>
      <c r="O204">
        <f>Orders[[#This Row],[Actual_Ship_Date]]-Orders[[#This Row],[Expected_Ship_Date]]</f>
        <v>2</v>
      </c>
    </row>
    <row r="205" spans="1:15" x14ac:dyDescent="0.25">
      <c r="A205" t="s">
        <v>250</v>
      </c>
      <c r="B205" t="s">
        <v>15</v>
      </c>
      <c r="C205" t="s">
        <v>25</v>
      </c>
      <c r="D205" t="s">
        <v>17</v>
      </c>
      <c r="E205" t="s">
        <v>40</v>
      </c>
      <c r="F205" s="1">
        <v>45749</v>
      </c>
      <c r="G205" s="1">
        <v>45753</v>
      </c>
      <c r="H205" s="1">
        <v>45753</v>
      </c>
      <c r="I205" s="1">
        <v>45757</v>
      </c>
      <c r="J205" t="s">
        <v>36</v>
      </c>
      <c r="K205">
        <v>59</v>
      </c>
      <c r="L205">
        <v>183.73</v>
      </c>
      <c r="M205">
        <v>10840.07</v>
      </c>
      <c r="N205">
        <v>4</v>
      </c>
      <c r="O205">
        <f>Orders[[#This Row],[Actual_Ship_Date]]-Orders[[#This Row],[Expected_Ship_Date]]</f>
        <v>0</v>
      </c>
    </row>
    <row r="206" spans="1:15" x14ac:dyDescent="0.25">
      <c r="A206" t="s">
        <v>251</v>
      </c>
      <c r="B206" t="s">
        <v>45</v>
      </c>
      <c r="C206" t="s">
        <v>34</v>
      </c>
      <c r="D206" t="s">
        <v>35</v>
      </c>
      <c r="E206" t="s">
        <v>31</v>
      </c>
      <c r="F206" s="1">
        <v>45692</v>
      </c>
      <c r="G206" s="1">
        <v>45697</v>
      </c>
      <c r="H206" s="1">
        <v>45697</v>
      </c>
      <c r="I206" s="1">
        <v>45702</v>
      </c>
      <c r="J206" t="s">
        <v>19</v>
      </c>
      <c r="K206">
        <v>176</v>
      </c>
      <c r="L206">
        <v>770.83</v>
      </c>
      <c r="M206">
        <v>135666.07999999999</v>
      </c>
      <c r="N206">
        <v>5</v>
      </c>
      <c r="O206">
        <f>Orders[[#This Row],[Actual_Ship_Date]]-Orders[[#This Row],[Expected_Ship_Date]]</f>
        <v>0</v>
      </c>
    </row>
    <row r="207" spans="1:15" x14ac:dyDescent="0.25">
      <c r="A207" t="s">
        <v>252</v>
      </c>
      <c r="B207" t="s">
        <v>15</v>
      </c>
      <c r="C207" t="s">
        <v>43</v>
      </c>
      <c r="D207" t="s">
        <v>39</v>
      </c>
      <c r="E207" t="s">
        <v>40</v>
      </c>
      <c r="F207" s="1">
        <v>45710</v>
      </c>
      <c r="G207" s="1">
        <v>45718</v>
      </c>
      <c r="H207" s="1">
        <v>45721</v>
      </c>
      <c r="I207" s="1">
        <v>45725</v>
      </c>
      <c r="J207" t="s">
        <v>32</v>
      </c>
      <c r="K207">
        <v>40</v>
      </c>
      <c r="L207">
        <v>19.329999999999998</v>
      </c>
      <c r="M207">
        <v>773.2</v>
      </c>
      <c r="N207">
        <v>11</v>
      </c>
      <c r="O207">
        <f>Orders[[#This Row],[Actual_Ship_Date]]-Orders[[#This Row],[Expected_Ship_Date]]</f>
        <v>3</v>
      </c>
    </row>
    <row r="208" spans="1:15" x14ac:dyDescent="0.25">
      <c r="A208" t="s">
        <v>253</v>
      </c>
      <c r="B208" t="s">
        <v>29</v>
      </c>
      <c r="C208" t="s">
        <v>16</v>
      </c>
      <c r="D208" t="s">
        <v>17</v>
      </c>
      <c r="E208" t="s">
        <v>26</v>
      </c>
      <c r="F208" s="1">
        <v>45777</v>
      </c>
      <c r="G208" s="1">
        <v>45787</v>
      </c>
      <c r="H208" s="1">
        <v>45788</v>
      </c>
      <c r="I208" s="1">
        <v>45790</v>
      </c>
      <c r="J208" t="s">
        <v>27</v>
      </c>
      <c r="K208">
        <v>78</v>
      </c>
      <c r="L208">
        <v>283.18</v>
      </c>
      <c r="M208">
        <v>22088.04</v>
      </c>
      <c r="N208">
        <v>11</v>
      </c>
      <c r="O208">
        <f>Orders[[#This Row],[Actual_Ship_Date]]-Orders[[#This Row],[Expected_Ship_Date]]</f>
        <v>1</v>
      </c>
    </row>
    <row r="209" spans="1:15" x14ac:dyDescent="0.25">
      <c r="A209" t="s">
        <v>254</v>
      </c>
      <c r="B209" t="s">
        <v>78</v>
      </c>
      <c r="C209" t="s">
        <v>51</v>
      </c>
      <c r="D209" t="s">
        <v>39</v>
      </c>
      <c r="E209" t="s">
        <v>18</v>
      </c>
      <c r="F209" s="1">
        <v>45726</v>
      </c>
      <c r="G209" s="1">
        <v>45740</v>
      </c>
      <c r="H209" s="1">
        <v>45743</v>
      </c>
      <c r="I209" s="1">
        <v>45744</v>
      </c>
      <c r="J209" t="s">
        <v>27</v>
      </c>
      <c r="K209">
        <v>49</v>
      </c>
      <c r="L209">
        <v>363.93</v>
      </c>
      <c r="M209">
        <v>17832.57</v>
      </c>
      <c r="N209">
        <v>17</v>
      </c>
      <c r="O209">
        <f>Orders[[#This Row],[Actual_Ship_Date]]-Orders[[#This Row],[Expected_Ship_Date]]</f>
        <v>3</v>
      </c>
    </row>
    <row r="210" spans="1:15" x14ac:dyDescent="0.25">
      <c r="A210" t="s">
        <v>255</v>
      </c>
      <c r="B210" t="s">
        <v>48</v>
      </c>
      <c r="C210" t="s">
        <v>16</v>
      </c>
      <c r="D210" t="s">
        <v>59</v>
      </c>
      <c r="E210" t="s">
        <v>57</v>
      </c>
      <c r="F210" s="1">
        <v>45681</v>
      </c>
      <c r="G210" s="1">
        <v>45695</v>
      </c>
      <c r="H210" s="1">
        <v>45700</v>
      </c>
      <c r="I210" s="1">
        <v>45703</v>
      </c>
      <c r="J210" t="s">
        <v>27</v>
      </c>
      <c r="K210">
        <v>7</v>
      </c>
      <c r="L210">
        <v>264.16000000000003</v>
      </c>
      <c r="M210">
        <v>1849.12</v>
      </c>
      <c r="N210">
        <v>19</v>
      </c>
      <c r="O210">
        <f>Orders[[#This Row],[Actual_Ship_Date]]-Orders[[#This Row],[Expected_Ship_Date]]</f>
        <v>5</v>
      </c>
    </row>
    <row r="211" spans="1:15" x14ac:dyDescent="0.25">
      <c r="A211" t="s">
        <v>256</v>
      </c>
      <c r="B211" t="s">
        <v>53</v>
      </c>
      <c r="C211" t="s">
        <v>25</v>
      </c>
      <c r="D211" t="s">
        <v>22</v>
      </c>
      <c r="E211" t="s">
        <v>31</v>
      </c>
      <c r="F211" s="1">
        <v>45716</v>
      </c>
      <c r="G211" s="1">
        <v>45729</v>
      </c>
      <c r="H211" s="1">
        <v>45731</v>
      </c>
      <c r="I211" s="1">
        <v>45736</v>
      </c>
      <c r="J211" t="s">
        <v>27</v>
      </c>
      <c r="K211">
        <v>39</v>
      </c>
      <c r="L211">
        <v>725.63</v>
      </c>
      <c r="M211">
        <v>28299.57</v>
      </c>
      <c r="N211">
        <v>15</v>
      </c>
      <c r="O211">
        <f>Orders[[#This Row],[Actual_Ship_Date]]-Orders[[#This Row],[Expected_Ship_Date]]</f>
        <v>2</v>
      </c>
    </row>
    <row r="212" spans="1:15" x14ac:dyDescent="0.25">
      <c r="A212" t="s">
        <v>257</v>
      </c>
      <c r="B212" t="s">
        <v>24</v>
      </c>
      <c r="C212" t="s">
        <v>25</v>
      </c>
      <c r="D212" t="s">
        <v>17</v>
      </c>
      <c r="E212" t="s">
        <v>40</v>
      </c>
      <c r="F212" s="1">
        <v>45700</v>
      </c>
      <c r="G212" s="1">
        <v>45705</v>
      </c>
      <c r="H212" s="1">
        <v>45708</v>
      </c>
      <c r="I212" s="1">
        <v>45712</v>
      </c>
      <c r="J212" t="s">
        <v>27</v>
      </c>
      <c r="K212">
        <v>188</v>
      </c>
      <c r="L212">
        <v>170.48</v>
      </c>
      <c r="M212">
        <v>32050.240000000002</v>
      </c>
      <c r="N212">
        <v>8</v>
      </c>
      <c r="O212">
        <f>Orders[[#This Row],[Actual_Ship_Date]]-Orders[[#This Row],[Expected_Ship_Date]]</f>
        <v>3</v>
      </c>
    </row>
    <row r="213" spans="1:15" x14ac:dyDescent="0.25">
      <c r="A213" t="s">
        <v>258</v>
      </c>
      <c r="B213" t="s">
        <v>38</v>
      </c>
      <c r="C213" t="s">
        <v>16</v>
      </c>
      <c r="D213" t="s">
        <v>22</v>
      </c>
      <c r="E213" t="s">
        <v>26</v>
      </c>
      <c r="F213" s="1">
        <v>45754</v>
      </c>
      <c r="G213" s="1">
        <v>45760</v>
      </c>
      <c r="H213" s="1">
        <v>45760</v>
      </c>
      <c r="I213" s="1">
        <v>45765</v>
      </c>
      <c r="J213" t="s">
        <v>36</v>
      </c>
      <c r="K213">
        <v>136</v>
      </c>
      <c r="L213">
        <v>288.82</v>
      </c>
      <c r="M213">
        <v>39279.519999999997</v>
      </c>
      <c r="N213">
        <v>6</v>
      </c>
      <c r="O213">
        <f>Orders[[#This Row],[Actual_Ship_Date]]-Orders[[#This Row],[Expected_Ship_Date]]</f>
        <v>0</v>
      </c>
    </row>
    <row r="214" spans="1:15" x14ac:dyDescent="0.25">
      <c r="A214" t="s">
        <v>259</v>
      </c>
      <c r="B214" t="s">
        <v>24</v>
      </c>
      <c r="C214" t="s">
        <v>25</v>
      </c>
      <c r="D214" t="s">
        <v>17</v>
      </c>
      <c r="E214" t="s">
        <v>40</v>
      </c>
      <c r="F214" s="1">
        <v>45719</v>
      </c>
      <c r="G214" s="1">
        <v>45727</v>
      </c>
      <c r="H214" s="1">
        <v>45727</v>
      </c>
      <c r="I214" s="1">
        <v>45728</v>
      </c>
      <c r="J214" t="s">
        <v>36</v>
      </c>
      <c r="K214">
        <v>119</v>
      </c>
      <c r="L214">
        <v>644.39</v>
      </c>
      <c r="M214">
        <v>76682.41</v>
      </c>
      <c r="N214">
        <v>8</v>
      </c>
      <c r="O214">
        <f>Orders[[#This Row],[Actual_Ship_Date]]-Orders[[#This Row],[Expected_Ship_Date]]</f>
        <v>0</v>
      </c>
    </row>
    <row r="215" spans="1:15" x14ac:dyDescent="0.25">
      <c r="A215" t="s">
        <v>260</v>
      </c>
      <c r="B215" t="s">
        <v>78</v>
      </c>
      <c r="C215" t="s">
        <v>21</v>
      </c>
      <c r="D215" t="s">
        <v>17</v>
      </c>
      <c r="E215" t="s">
        <v>40</v>
      </c>
      <c r="F215" s="1">
        <v>45731</v>
      </c>
      <c r="G215" s="1">
        <v>45734</v>
      </c>
      <c r="H215" s="1">
        <v>45734</v>
      </c>
      <c r="I215" s="1">
        <v>45737</v>
      </c>
      <c r="J215" t="s">
        <v>32</v>
      </c>
      <c r="K215">
        <v>35</v>
      </c>
      <c r="L215">
        <v>403.6</v>
      </c>
      <c r="M215">
        <v>14126</v>
      </c>
      <c r="N215">
        <v>3</v>
      </c>
      <c r="O215">
        <f>Orders[[#This Row],[Actual_Ship_Date]]-Orders[[#This Row],[Expected_Ship_Date]]</f>
        <v>0</v>
      </c>
    </row>
    <row r="216" spans="1:15" x14ac:dyDescent="0.25">
      <c r="A216" t="s">
        <v>261</v>
      </c>
      <c r="B216" t="s">
        <v>45</v>
      </c>
      <c r="C216" t="s">
        <v>34</v>
      </c>
      <c r="D216" t="s">
        <v>22</v>
      </c>
      <c r="E216" t="s">
        <v>18</v>
      </c>
      <c r="F216" s="1">
        <v>45756</v>
      </c>
      <c r="G216" s="1">
        <v>45763</v>
      </c>
      <c r="H216" s="1">
        <v>45766</v>
      </c>
      <c r="I216" s="1">
        <v>45767</v>
      </c>
      <c r="J216" t="s">
        <v>27</v>
      </c>
      <c r="K216">
        <v>80</v>
      </c>
      <c r="L216">
        <v>321.89999999999998</v>
      </c>
      <c r="M216">
        <v>25752</v>
      </c>
      <c r="N216">
        <v>10</v>
      </c>
      <c r="O216">
        <f>Orders[[#This Row],[Actual_Ship_Date]]-Orders[[#This Row],[Expected_Ship_Date]]</f>
        <v>3</v>
      </c>
    </row>
    <row r="217" spans="1:15" x14ac:dyDescent="0.25">
      <c r="A217" t="s">
        <v>262</v>
      </c>
      <c r="B217" t="s">
        <v>53</v>
      </c>
      <c r="C217" t="s">
        <v>34</v>
      </c>
      <c r="D217" t="s">
        <v>22</v>
      </c>
      <c r="E217" t="s">
        <v>40</v>
      </c>
      <c r="F217" s="1">
        <v>45677</v>
      </c>
      <c r="G217" s="1">
        <v>45687</v>
      </c>
      <c r="H217" s="1">
        <v>45690</v>
      </c>
      <c r="I217" s="1">
        <v>45695</v>
      </c>
      <c r="J217" t="s">
        <v>27</v>
      </c>
      <c r="K217">
        <v>184</v>
      </c>
      <c r="L217">
        <v>473.61</v>
      </c>
      <c r="M217">
        <v>87144.24</v>
      </c>
      <c r="N217">
        <v>13</v>
      </c>
      <c r="O217">
        <f>Orders[[#This Row],[Actual_Ship_Date]]-Orders[[#This Row],[Expected_Ship_Date]]</f>
        <v>3</v>
      </c>
    </row>
    <row r="218" spans="1:15" x14ac:dyDescent="0.25">
      <c r="A218" t="s">
        <v>263</v>
      </c>
      <c r="B218" t="s">
        <v>42</v>
      </c>
      <c r="C218" t="s">
        <v>16</v>
      </c>
      <c r="D218" t="s">
        <v>35</v>
      </c>
      <c r="E218" t="s">
        <v>63</v>
      </c>
      <c r="F218" s="1">
        <v>45754</v>
      </c>
      <c r="G218" s="1">
        <v>45766</v>
      </c>
      <c r="H218" s="1">
        <v>45771</v>
      </c>
      <c r="I218" s="1">
        <v>45772</v>
      </c>
      <c r="J218" t="s">
        <v>27</v>
      </c>
      <c r="K218">
        <v>140</v>
      </c>
      <c r="L218">
        <v>602.64</v>
      </c>
      <c r="M218">
        <v>84369.600000000006</v>
      </c>
      <c r="N218">
        <v>17</v>
      </c>
      <c r="O218">
        <f>Orders[[#This Row],[Actual_Ship_Date]]-Orders[[#This Row],[Expected_Ship_Date]]</f>
        <v>5</v>
      </c>
    </row>
    <row r="219" spans="1:15" x14ac:dyDescent="0.25">
      <c r="A219" t="s">
        <v>264</v>
      </c>
      <c r="B219" t="s">
        <v>45</v>
      </c>
      <c r="C219" t="s">
        <v>30</v>
      </c>
      <c r="D219" t="s">
        <v>35</v>
      </c>
      <c r="E219" t="s">
        <v>63</v>
      </c>
      <c r="F219" s="1">
        <v>45773</v>
      </c>
      <c r="G219" s="1">
        <v>45784</v>
      </c>
      <c r="H219" s="1">
        <v>45784</v>
      </c>
      <c r="I219" s="1">
        <v>45789</v>
      </c>
      <c r="J219" t="s">
        <v>32</v>
      </c>
      <c r="K219">
        <v>138</v>
      </c>
      <c r="L219">
        <v>383.94</v>
      </c>
      <c r="M219">
        <v>52983.72</v>
      </c>
      <c r="N219">
        <v>11</v>
      </c>
      <c r="O219">
        <f>Orders[[#This Row],[Actual_Ship_Date]]-Orders[[#This Row],[Expected_Ship_Date]]</f>
        <v>0</v>
      </c>
    </row>
    <row r="220" spans="1:15" x14ac:dyDescent="0.25">
      <c r="A220" t="s">
        <v>265</v>
      </c>
      <c r="B220" t="s">
        <v>15</v>
      </c>
      <c r="C220" t="s">
        <v>30</v>
      </c>
      <c r="D220" t="s">
        <v>59</v>
      </c>
      <c r="E220" t="s">
        <v>40</v>
      </c>
      <c r="F220" s="1">
        <v>45715</v>
      </c>
      <c r="G220" s="1">
        <v>45730</v>
      </c>
      <c r="H220" s="1">
        <v>45730</v>
      </c>
      <c r="I220" s="1">
        <v>45734</v>
      </c>
      <c r="J220" t="s">
        <v>19</v>
      </c>
      <c r="K220">
        <v>121</v>
      </c>
      <c r="L220">
        <v>485.87</v>
      </c>
      <c r="M220">
        <v>58790.27</v>
      </c>
      <c r="N220">
        <v>15</v>
      </c>
      <c r="O220">
        <f>Orders[[#This Row],[Actual_Ship_Date]]-Orders[[#This Row],[Expected_Ship_Date]]</f>
        <v>0</v>
      </c>
    </row>
    <row r="221" spans="1:15" x14ac:dyDescent="0.25">
      <c r="A221" t="s">
        <v>266</v>
      </c>
      <c r="B221" t="s">
        <v>42</v>
      </c>
      <c r="C221" t="s">
        <v>51</v>
      </c>
      <c r="D221" t="s">
        <v>35</v>
      </c>
      <c r="E221" t="s">
        <v>18</v>
      </c>
      <c r="F221" s="1">
        <v>45660</v>
      </c>
      <c r="G221" s="1">
        <v>45669</v>
      </c>
      <c r="H221" s="1">
        <v>45669</v>
      </c>
      <c r="I221" s="1">
        <v>45670</v>
      </c>
      <c r="J221" t="s">
        <v>19</v>
      </c>
      <c r="K221">
        <v>16</v>
      </c>
      <c r="L221">
        <v>368.79</v>
      </c>
      <c r="M221">
        <v>5900.64</v>
      </c>
      <c r="N221">
        <v>9</v>
      </c>
      <c r="O221">
        <f>Orders[[#This Row],[Actual_Ship_Date]]-Orders[[#This Row],[Expected_Ship_Date]]</f>
        <v>0</v>
      </c>
    </row>
    <row r="222" spans="1:15" x14ac:dyDescent="0.25">
      <c r="A222" t="s">
        <v>267</v>
      </c>
      <c r="B222" t="s">
        <v>38</v>
      </c>
      <c r="C222" t="s">
        <v>46</v>
      </c>
      <c r="D222" t="s">
        <v>39</v>
      </c>
      <c r="E222" t="s">
        <v>18</v>
      </c>
      <c r="F222" s="1">
        <v>45662</v>
      </c>
      <c r="G222" s="1">
        <v>45669</v>
      </c>
      <c r="H222" s="1">
        <v>45670</v>
      </c>
      <c r="I222" s="1">
        <v>45672</v>
      </c>
      <c r="J222" t="s">
        <v>27</v>
      </c>
      <c r="K222">
        <v>169</v>
      </c>
      <c r="L222">
        <v>831.91</v>
      </c>
      <c r="M222">
        <v>140592.79</v>
      </c>
      <c r="N222">
        <v>8</v>
      </c>
      <c r="O222">
        <f>Orders[[#This Row],[Actual_Ship_Date]]-Orders[[#This Row],[Expected_Ship_Date]]</f>
        <v>1</v>
      </c>
    </row>
    <row r="223" spans="1:15" x14ac:dyDescent="0.25">
      <c r="A223" t="s">
        <v>268</v>
      </c>
      <c r="B223" t="s">
        <v>78</v>
      </c>
      <c r="C223" t="s">
        <v>46</v>
      </c>
      <c r="D223" t="s">
        <v>35</v>
      </c>
      <c r="E223" t="s">
        <v>26</v>
      </c>
      <c r="F223" s="1">
        <v>45769</v>
      </c>
      <c r="G223" s="1">
        <v>45778</v>
      </c>
      <c r="H223" s="1">
        <v>45779</v>
      </c>
      <c r="I223" s="1">
        <v>45780</v>
      </c>
      <c r="J223" t="s">
        <v>27</v>
      </c>
      <c r="K223">
        <v>174</v>
      </c>
      <c r="L223">
        <v>745.25</v>
      </c>
      <c r="M223">
        <v>129673.5</v>
      </c>
      <c r="N223">
        <v>10</v>
      </c>
      <c r="O223">
        <f>Orders[[#This Row],[Actual_Ship_Date]]-Orders[[#This Row],[Expected_Ship_Date]]</f>
        <v>1</v>
      </c>
    </row>
    <row r="224" spans="1:15" x14ac:dyDescent="0.25">
      <c r="A224" t="s">
        <v>269</v>
      </c>
      <c r="B224" t="s">
        <v>29</v>
      </c>
      <c r="C224" t="s">
        <v>25</v>
      </c>
      <c r="D224" t="s">
        <v>39</v>
      </c>
      <c r="E224" t="s">
        <v>40</v>
      </c>
      <c r="F224" s="1">
        <v>45726</v>
      </c>
      <c r="G224" s="1">
        <v>45735</v>
      </c>
      <c r="H224" s="1">
        <v>45737</v>
      </c>
      <c r="I224" s="1">
        <v>45739</v>
      </c>
      <c r="J224" t="s">
        <v>27</v>
      </c>
      <c r="K224">
        <v>62</v>
      </c>
      <c r="L224">
        <v>712.08</v>
      </c>
      <c r="M224">
        <v>44148.959999999999</v>
      </c>
      <c r="N224">
        <v>11</v>
      </c>
      <c r="O224">
        <f>Orders[[#This Row],[Actual_Ship_Date]]-Orders[[#This Row],[Expected_Ship_Date]]</f>
        <v>2</v>
      </c>
    </row>
    <row r="225" spans="1:15" x14ac:dyDescent="0.25">
      <c r="A225" t="s">
        <v>270</v>
      </c>
      <c r="B225" t="s">
        <v>24</v>
      </c>
      <c r="C225" t="s">
        <v>43</v>
      </c>
      <c r="D225" t="s">
        <v>59</v>
      </c>
      <c r="E225" t="s">
        <v>26</v>
      </c>
      <c r="F225" s="1">
        <v>45750</v>
      </c>
      <c r="G225" s="1">
        <v>45761</v>
      </c>
      <c r="H225" s="1">
        <v>45762</v>
      </c>
      <c r="I225" s="1">
        <v>45767</v>
      </c>
      <c r="J225" t="s">
        <v>27</v>
      </c>
      <c r="K225">
        <v>63</v>
      </c>
      <c r="L225">
        <v>221.67</v>
      </c>
      <c r="M225">
        <v>13965.21</v>
      </c>
      <c r="N225">
        <v>12</v>
      </c>
      <c r="O225">
        <f>Orders[[#This Row],[Actual_Ship_Date]]-Orders[[#This Row],[Expected_Ship_Date]]</f>
        <v>1</v>
      </c>
    </row>
    <row r="226" spans="1:15" x14ac:dyDescent="0.25">
      <c r="A226" t="s">
        <v>271</v>
      </c>
      <c r="B226" t="s">
        <v>29</v>
      </c>
      <c r="C226" t="s">
        <v>34</v>
      </c>
      <c r="D226" t="s">
        <v>22</v>
      </c>
      <c r="E226" t="s">
        <v>31</v>
      </c>
      <c r="F226" s="1">
        <v>45777</v>
      </c>
      <c r="G226" s="1">
        <v>45791</v>
      </c>
      <c r="H226" s="1">
        <v>45796</v>
      </c>
      <c r="I226" s="1">
        <v>45797</v>
      </c>
      <c r="J226" t="s">
        <v>32</v>
      </c>
      <c r="K226">
        <v>174</v>
      </c>
      <c r="L226">
        <v>365.07</v>
      </c>
      <c r="M226">
        <v>63522.18</v>
      </c>
      <c r="N226">
        <v>19</v>
      </c>
      <c r="O226">
        <f>Orders[[#This Row],[Actual_Ship_Date]]-Orders[[#This Row],[Expected_Ship_Date]]</f>
        <v>5</v>
      </c>
    </row>
    <row r="227" spans="1:15" x14ac:dyDescent="0.25">
      <c r="A227" t="s">
        <v>272</v>
      </c>
      <c r="B227" t="s">
        <v>45</v>
      </c>
      <c r="C227" t="s">
        <v>34</v>
      </c>
      <c r="D227" t="s">
        <v>35</v>
      </c>
      <c r="E227" t="s">
        <v>26</v>
      </c>
      <c r="F227" s="1">
        <v>45670</v>
      </c>
      <c r="G227" s="1">
        <v>45682</v>
      </c>
      <c r="H227" s="1">
        <v>45682</v>
      </c>
      <c r="I227" s="1">
        <v>45686</v>
      </c>
      <c r="J227" t="s">
        <v>19</v>
      </c>
      <c r="K227">
        <v>16</v>
      </c>
      <c r="L227">
        <v>350.89</v>
      </c>
      <c r="M227">
        <v>5614.24</v>
      </c>
      <c r="N227">
        <v>12</v>
      </c>
      <c r="O227">
        <f>Orders[[#This Row],[Actual_Ship_Date]]-Orders[[#This Row],[Expected_Ship_Date]]</f>
        <v>0</v>
      </c>
    </row>
    <row r="228" spans="1:15" x14ac:dyDescent="0.25">
      <c r="A228" t="s">
        <v>273</v>
      </c>
      <c r="B228" t="s">
        <v>45</v>
      </c>
      <c r="C228" t="s">
        <v>25</v>
      </c>
      <c r="D228" t="s">
        <v>22</v>
      </c>
      <c r="E228" t="s">
        <v>40</v>
      </c>
      <c r="F228" s="1">
        <v>45722</v>
      </c>
      <c r="G228" s="1">
        <v>45729</v>
      </c>
      <c r="H228" s="1">
        <v>45729</v>
      </c>
      <c r="I228" s="1">
        <v>45734</v>
      </c>
      <c r="J228" t="s">
        <v>36</v>
      </c>
      <c r="K228">
        <v>177</v>
      </c>
      <c r="L228">
        <v>698.35</v>
      </c>
      <c r="M228">
        <v>123607.95</v>
      </c>
      <c r="N228">
        <v>7</v>
      </c>
      <c r="O228">
        <f>Orders[[#This Row],[Actual_Ship_Date]]-Orders[[#This Row],[Expected_Ship_Date]]</f>
        <v>0</v>
      </c>
    </row>
    <row r="229" spans="1:15" x14ac:dyDescent="0.25">
      <c r="A229" t="s">
        <v>274</v>
      </c>
      <c r="B229" t="s">
        <v>78</v>
      </c>
      <c r="C229" t="s">
        <v>21</v>
      </c>
      <c r="D229" t="s">
        <v>17</v>
      </c>
      <c r="E229" t="s">
        <v>18</v>
      </c>
      <c r="F229" s="1">
        <v>45724</v>
      </c>
      <c r="G229" s="1">
        <v>45730</v>
      </c>
      <c r="H229" s="1">
        <v>45731</v>
      </c>
      <c r="I229" s="1">
        <v>45734</v>
      </c>
      <c r="J229" t="s">
        <v>27</v>
      </c>
      <c r="K229">
        <v>147</v>
      </c>
      <c r="L229">
        <v>807.01</v>
      </c>
      <c r="M229">
        <v>118630.47</v>
      </c>
      <c r="N229">
        <v>7</v>
      </c>
      <c r="O229">
        <f>Orders[[#This Row],[Actual_Ship_Date]]-Orders[[#This Row],[Expected_Ship_Date]]</f>
        <v>1</v>
      </c>
    </row>
    <row r="230" spans="1:15" x14ac:dyDescent="0.25">
      <c r="A230" t="s">
        <v>275</v>
      </c>
      <c r="B230" t="s">
        <v>38</v>
      </c>
      <c r="C230" t="s">
        <v>43</v>
      </c>
      <c r="D230" t="s">
        <v>59</v>
      </c>
      <c r="E230" t="s">
        <v>18</v>
      </c>
      <c r="F230" s="1">
        <v>45664</v>
      </c>
      <c r="G230" s="1">
        <v>45672</v>
      </c>
      <c r="H230" s="1">
        <v>45675</v>
      </c>
      <c r="I230" s="1">
        <v>45679</v>
      </c>
      <c r="J230" t="s">
        <v>27</v>
      </c>
      <c r="K230">
        <v>86</v>
      </c>
      <c r="L230">
        <v>596.41999999999996</v>
      </c>
      <c r="M230">
        <v>51292.12</v>
      </c>
      <c r="N230">
        <v>11</v>
      </c>
      <c r="O230">
        <f>Orders[[#This Row],[Actual_Ship_Date]]-Orders[[#This Row],[Expected_Ship_Date]]</f>
        <v>3</v>
      </c>
    </row>
    <row r="231" spans="1:15" x14ac:dyDescent="0.25">
      <c r="A231" t="s">
        <v>276</v>
      </c>
      <c r="B231" t="s">
        <v>78</v>
      </c>
      <c r="C231" t="s">
        <v>30</v>
      </c>
      <c r="D231" t="s">
        <v>35</v>
      </c>
      <c r="E231" t="s">
        <v>63</v>
      </c>
      <c r="F231" s="1">
        <v>45681</v>
      </c>
      <c r="G231" s="1">
        <v>45696</v>
      </c>
      <c r="H231" s="1">
        <v>45698</v>
      </c>
      <c r="I231" s="1">
        <v>45702</v>
      </c>
      <c r="J231" t="s">
        <v>27</v>
      </c>
      <c r="K231">
        <v>62</v>
      </c>
      <c r="L231">
        <v>266.11</v>
      </c>
      <c r="M231">
        <v>16498.82</v>
      </c>
      <c r="N231">
        <v>17</v>
      </c>
      <c r="O231">
        <f>Orders[[#This Row],[Actual_Ship_Date]]-Orders[[#This Row],[Expected_Ship_Date]]</f>
        <v>2</v>
      </c>
    </row>
    <row r="232" spans="1:15" x14ac:dyDescent="0.25">
      <c r="A232" t="s">
        <v>277</v>
      </c>
      <c r="B232" t="s">
        <v>24</v>
      </c>
      <c r="C232" t="s">
        <v>16</v>
      </c>
      <c r="D232" t="s">
        <v>39</v>
      </c>
      <c r="E232" t="s">
        <v>57</v>
      </c>
      <c r="F232" s="1">
        <v>45710</v>
      </c>
      <c r="G232" s="1">
        <v>45719</v>
      </c>
      <c r="H232" s="1">
        <v>45721</v>
      </c>
      <c r="I232" s="1">
        <v>45726</v>
      </c>
      <c r="J232" t="s">
        <v>32</v>
      </c>
      <c r="K232">
        <v>67</v>
      </c>
      <c r="L232">
        <v>227.92</v>
      </c>
      <c r="M232">
        <v>15270.64</v>
      </c>
      <c r="N232">
        <v>11</v>
      </c>
      <c r="O232">
        <f>Orders[[#This Row],[Actual_Ship_Date]]-Orders[[#This Row],[Expected_Ship_Date]]</f>
        <v>2</v>
      </c>
    </row>
    <row r="233" spans="1:15" x14ac:dyDescent="0.25">
      <c r="A233" t="s">
        <v>278</v>
      </c>
      <c r="B233" t="s">
        <v>48</v>
      </c>
      <c r="C233" t="s">
        <v>51</v>
      </c>
      <c r="D233" t="s">
        <v>35</v>
      </c>
      <c r="E233" t="s">
        <v>26</v>
      </c>
      <c r="F233" s="1">
        <v>45669</v>
      </c>
      <c r="G233" s="1">
        <v>45680</v>
      </c>
      <c r="H233" s="1">
        <v>45683</v>
      </c>
      <c r="I233" s="1">
        <v>45685</v>
      </c>
      <c r="J233" t="s">
        <v>32</v>
      </c>
      <c r="K233">
        <v>101</v>
      </c>
      <c r="L233">
        <v>577.52</v>
      </c>
      <c r="M233">
        <v>58329.52</v>
      </c>
      <c r="N233">
        <v>14</v>
      </c>
      <c r="O233">
        <f>Orders[[#This Row],[Actual_Ship_Date]]-Orders[[#This Row],[Expected_Ship_Date]]</f>
        <v>3</v>
      </c>
    </row>
    <row r="234" spans="1:15" x14ac:dyDescent="0.25">
      <c r="A234" t="s">
        <v>279</v>
      </c>
      <c r="B234" t="s">
        <v>24</v>
      </c>
      <c r="C234" t="s">
        <v>25</v>
      </c>
      <c r="D234" t="s">
        <v>35</v>
      </c>
      <c r="E234" t="s">
        <v>26</v>
      </c>
      <c r="F234" s="1">
        <v>45760</v>
      </c>
      <c r="G234" s="1">
        <v>45775</v>
      </c>
      <c r="H234" s="1">
        <v>45777</v>
      </c>
      <c r="I234" s="1">
        <v>45782</v>
      </c>
      <c r="J234" t="s">
        <v>27</v>
      </c>
      <c r="K234">
        <v>58</v>
      </c>
      <c r="L234">
        <v>741.01</v>
      </c>
      <c r="M234">
        <v>42978.58</v>
      </c>
      <c r="N234">
        <v>17</v>
      </c>
      <c r="O234">
        <f>Orders[[#This Row],[Actual_Ship_Date]]-Orders[[#This Row],[Expected_Ship_Date]]</f>
        <v>2</v>
      </c>
    </row>
    <row r="235" spans="1:15" x14ac:dyDescent="0.25">
      <c r="A235" t="s">
        <v>280</v>
      </c>
      <c r="B235" t="s">
        <v>45</v>
      </c>
      <c r="C235" t="s">
        <v>34</v>
      </c>
      <c r="D235" t="s">
        <v>39</v>
      </c>
      <c r="E235" t="s">
        <v>26</v>
      </c>
      <c r="F235" s="1">
        <v>45777</v>
      </c>
      <c r="G235" s="1">
        <v>45783</v>
      </c>
      <c r="H235" s="1">
        <v>45786</v>
      </c>
      <c r="I235" s="1">
        <v>45787</v>
      </c>
      <c r="J235" t="s">
        <v>27</v>
      </c>
      <c r="K235">
        <v>198</v>
      </c>
      <c r="L235">
        <v>414.9</v>
      </c>
      <c r="M235">
        <v>82150.2</v>
      </c>
      <c r="N235">
        <v>9</v>
      </c>
      <c r="O235">
        <f>Orders[[#This Row],[Actual_Ship_Date]]-Orders[[#This Row],[Expected_Ship_Date]]</f>
        <v>3</v>
      </c>
    </row>
    <row r="236" spans="1:15" x14ac:dyDescent="0.25">
      <c r="A236" t="s">
        <v>281</v>
      </c>
      <c r="B236" t="s">
        <v>56</v>
      </c>
      <c r="C236" t="s">
        <v>25</v>
      </c>
      <c r="D236" t="s">
        <v>59</v>
      </c>
      <c r="E236" t="s">
        <v>63</v>
      </c>
      <c r="F236" s="1">
        <v>45728</v>
      </c>
      <c r="G236" s="1">
        <v>45736</v>
      </c>
      <c r="H236" s="1">
        <v>45741</v>
      </c>
      <c r="I236" s="1">
        <v>45744</v>
      </c>
      <c r="J236" t="s">
        <v>27</v>
      </c>
      <c r="K236">
        <v>141</v>
      </c>
      <c r="L236">
        <v>556.67999999999995</v>
      </c>
      <c r="M236">
        <v>78491.88</v>
      </c>
      <c r="N236">
        <v>13</v>
      </c>
      <c r="O236">
        <f>Orders[[#This Row],[Actual_Ship_Date]]-Orders[[#This Row],[Expected_Ship_Date]]</f>
        <v>5</v>
      </c>
    </row>
    <row r="237" spans="1:15" x14ac:dyDescent="0.25">
      <c r="A237" t="s">
        <v>282</v>
      </c>
      <c r="B237" t="s">
        <v>24</v>
      </c>
      <c r="C237" t="s">
        <v>34</v>
      </c>
      <c r="D237" t="s">
        <v>59</v>
      </c>
      <c r="E237" t="s">
        <v>57</v>
      </c>
      <c r="F237" s="1">
        <v>45770</v>
      </c>
      <c r="G237" s="1">
        <v>45780</v>
      </c>
      <c r="H237" s="1">
        <v>45781</v>
      </c>
      <c r="I237" s="1">
        <v>45782</v>
      </c>
      <c r="J237" t="s">
        <v>27</v>
      </c>
      <c r="K237">
        <v>189</v>
      </c>
      <c r="L237">
        <v>407.02</v>
      </c>
      <c r="M237">
        <v>76926.78</v>
      </c>
      <c r="N237">
        <v>11</v>
      </c>
      <c r="O237">
        <f>Orders[[#This Row],[Actual_Ship_Date]]-Orders[[#This Row],[Expected_Ship_Date]]</f>
        <v>1</v>
      </c>
    </row>
    <row r="238" spans="1:15" x14ac:dyDescent="0.25">
      <c r="A238" t="s">
        <v>283</v>
      </c>
      <c r="B238" t="s">
        <v>48</v>
      </c>
      <c r="C238" t="s">
        <v>21</v>
      </c>
      <c r="D238" t="s">
        <v>59</v>
      </c>
      <c r="E238" t="s">
        <v>26</v>
      </c>
      <c r="F238" s="1">
        <v>45710</v>
      </c>
      <c r="G238" s="1">
        <v>45713</v>
      </c>
      <c r="H238" s="1">
        <v>45715</v>
      </c>
      <c r="I238" s="1">
        <v>45717</v>
      </c>
      <c r="J238" t="s">
        <v>27</v>
      </c>
      <c r="K238">
        <v>9</v>
      </c>
      <c r="L238">
        <v>232.75</v>
      </c>
      <c r="M238">
        <v>2094.75</v>
      </c>
      <c r="N238">
        <v>5</v>
      </c>
      <c r="O238">
        <f>Orders[[#This Row],[Actual_Ship_Date]]-Orders[[#This Row],[Expected_Ship_Date]]</f>
        <v>2</v>
      </c>
    </row>
    <row r="239" spans="1:15" x14ac:dyDescent="0.25">
      <c r="A239" t="s">
        <v>284</v>
      </c>
      <c r="B239" t="s">
        <v>24</v>
      </c>
      <c r="C239" t="s">
        <v>25</v>
      </c>
      <c r="D239" t="s">
        <v>39</v>
      </c>
      <c r="E239" t="s">
        <v>40</v>
      </c>
      <c r="F239" s="1">
        <v>45683</v>
      </c>
      <c r="G239" s="1">
        <v>45691</v>
      </c>
      <c r="H239" s="1">
        <v>45691</v>
      </c>
      <c r="I239" s="1">
        <v>45695</v>
      </c>
      <c r="J239" t="s">
        <v>19</v>
      </c>
      <c r="K239">
        <v>172</v>
      </c>
      <c r="L239">
        <v>802.79</v>
      </c>
      <c r="M239">
        <v>138079.88</v>
      </c>
      <c r="N239">
        <v>8</v>
      </c>
      <c r="O239">
        <f>Orders[[#This Row],[Actual_Ship_Date]]-Orders[[#This Row],[Expected_Ship_Date]]</f>
        <v>0</v>
      </c>
    </row>
    <row r="240" spans="1:15" x14ac:dyDescent="0.25">
      <c r="A240" t="s">
        <v>285</v>
      </c>
      <c r="B240" t="s">
        <v>15</v>
      </c>
      <c r="C240" t="s">
        <v>30</v>
      </c>
      <c r="D240" t="s">
        <v>22</v>
      </c>
      <c r="E240" t="s">
        <v>63</v>
      </c>
      <c r="F240" s="1">
        <v>45740</v>
      </c>
      <c r="G240" s="1">
        <v>45754</v>
      </c>
      <c r="H240" s="1">
        <v>45755</v>
      </c>
      <c r="I240" s="1">
        <v>45759</v>
      </c>
      <c r="J240" t="s">
        <v>32</v>
      </c>
      <c r="K240">
        <v>95</v>
      </c>
      <c r="L240">
        <v>156.34</v>
      </c>
      <c r="M240">
        <v>14852.3</v>
      </c>
      <c r="N240">
        <v>15</v>
      </c>
      <c r="O240">
        <f>Orders[[#This Row],[Actual_Ship_Date]]-Orders[[#This Row],[Expected_Ship_Date]]</f>
        <v>1</v>
      </c>
    </row>
    <row r="241" spans="1:15" x14ac:dyDescent="0.25">
      <c r="A241" t="s">
        <v>286</v>
      </c>
      <c r="B241" t="s">
        <v>29</v>
      </c>
      <c r="C241" t="s">
        <v>51</v>
      </c>
      <c r="D241" t="s">
        <v>39</v>
      </c>
      <c r="E241" t="s">
        <v>26</v>
      </c>
      <c r="F241" s="1">
        <v>45740</v>
      </c>
      <c r="G241" s="1">
        <v>45743</v>
      </c>
      <c r="H241" s="1">
        <v>45745</v>
      </c>
      <c r="I241" s="1">
        <v>45746</v>
      </c>
      <c r="J241" t="s">
        <v>27</v>
      </c>
      <c r="K241">
        <v>24</v>
      </c>
      <c r="L241">
        <v>804.23</v>
      </c>
      <c r="M241">
        <v>19301.52</v>
      </c>
      <c r="N241">
        <v>5</v>
      </c>
      <c r="O241">
        <f>Orders[[#This Row],[Actual_Ship_Date]]-Orders[[#This Row],[Expected_Ship_Date]]</f>
        <v>2</v>
      </c>
    </row>
    <row r="242" spans="1:15" x14ac:dyDescent="0.25">
      <c r="A242" t="s">
        <v>287</v>
      </c>
      <c r="B242" t="s">
        <v>29</v>
      </c>
      <c r="C242" t="s">
        <v>30</v>
      </c>
      <c r="D242" t="s">
        <v>39</v>
      </c>
      <c r="E242" t="s">
        <v>31</v>
      </c>
      <c r="F242" s="1">
        <v>45765</v>
      </c>
      <c r="G242" s="1">
        <v>45778</v>
      </c>
      <c r="H242" s="1">
        <v>45778</v>
      </c>
      <c r="I242" s="1">
        <v>45779</v>
      </c>
      <c r="J242" t="s">
        <v>32</v>
      </c>
      <c r="K242">
        <v>134</v>
      </c>
      <c r="L242">
        <v>395.77</v>
      </c>
      <c r="M242">
        <v>53033.18</v>
      </c>
      <c r="N242">
        <v>13</v>
      </c>
      <c r="O242">
        <f>Orders[[#This Row],[Actual_Ship_Date]]-Orders[[#This Row],[Expected_Ship_Date]]</f>
        <v>0</v>
      </c>
    </row>
    <row r="243" spans="1:15" x14ac:dyDescent="0.25">
      <c r="A243" t="s">
        <v>288</v>
      </c>
      <c r="B243" t="s">
        <v>15</v>
      </c>
      <c r="C243" t="s">
        <v>25</v>
      </c>
      <c r="D243" t="s">
        <v>35</v>
      </c>
      <c r="E243" t="s">
        <v>63</v>
      </c>
      <c r="F243" s="1">
        <v>45658</v>
      </c>
      <c r="G243" s="1">
        <v>45669</v>
      </c>
      <c r="H243" s="1">
        <v>45671</v>
      </c>
      <c r="I243" s="1">
        <v>45675</v>
      </c>
      <c r="J243" t="s">
        <v>32</v>
      </c>
      <c r="K243">
        <v>140</v>
      </c>
      <c r="L243">
        <v>618.03</v>
      </c>
      <c r="M243">
        <v>86524.2</v>
      </c>
      <c r="N243">
        <v>13</v>
      </c>
      <c r="O243">
        <f>Orders[[#This Row],[Actual_Ship_Date]]-Orders[[#This Row],[Expected_Ship_Date]]</f>
        <v>2</v>
      </c>
    </row>
    <row r="244" spans="1:15" x14ac:dyDescent="0.25">
      <c r="A244" t="s">
        <v>289</v>
      </c>
      <c r="B244" t="s">
        <v>42</v>
      </c>
      <c r="C244" t="s">
        <v>43</v>
      </c>
      <c r="D244" t="s">
        <v>22</v>
      </c>
      <c r="E244" t="s">
        <v>26</v>
      </c>
      <c r="F244" s="1">
        <v>45762</v>
      </c>
      <c r="G244" s="1">
        <v>45776</v>
      </c>
      <c r="H244" s="1">
        <v>45779</v>
      </c>
      <c r="I244" s="1">
        <v>45783</v>
      </c>
      <c r="J244" t="s">
        <v>27</v>
      </c>
      <c r="K244">
        <v>50</v>
      </c>
      <c r="L244">
        <v>104.36</v>
      </c>
      <c r="M244">
        <v>5218</v>
      </c>
      <c r="N244">
        <v>17</v>
      </c>
      <c r="O244">
        <f>Orders[[#This Row],[Actual_Ship_Date]]-Orders[[#This Row],[Expected_Ship_Date]]</f>
        <v>3</v>
      </c>
    </row>
    <row r="245" spans="1:15" x14ac:dyDescent="0.25">
      <c r="A245" t="s">
        <v>290</v>
      </c>
      <c r="B245" t="s">
        <v>38</v>
      </c>
      <c r="C245" t="s">
        <v>30</v>
      </c>
      <c r="D245" t="s">
        <v>17</v>
      </c>
      <c r="E245" t="s">
        <v>26</v>
      </c>
      <c r="F245" s="1">
        <v>45737</v>
      </c>
      <c r="G245" s="1">
        <v>45748</v>
      </c>
      <c r="H245" s="1">
        <v>45748</v>
      </c>
      <c r="I245" s="1">
        <v>45751</v>
      </c>
      <c r="J245" t="s">
        <v>36</v>
      </c>
      <c r="K245">
        <v>25</v>
      </c>
      <c r="L245">
        <v>326.5</v>
      </c>
      <c r="M245">
        <v>8162.5</v>
      </c>
      <c r="N245">
        <v>11</v>
      </c>
      <c r="O245">
        <f>Orders[[#This Row],[Actual_Ship_Date]]-Orders[[#This Row],[Expected_Ship_Date]]</f>
        <v>0</v>
      </c>
    </row>
    <row r="246" spans="1:15" x14ac:dyDescent="0.25">
      <c r="A246" t="s">
        <v>291</v>
      </c>
      <c r="B246" t="s">
        <v>53</v>
      </c>
      <c r="C246" t="s">
        <v>51</v>
      </c>
      <c r="D246" t="s">
        <v>35</v>
      </c>
      <c r="E246" t="s">
        <v>40</v>
      </c>
      <c r="F246" s="1">
        <v>45747</v>
      </c>
      <c r="G246" s="1">
        <v>45753</v>
      </c>
      <c r="H246" s="1">
        <v>45753</v>
      </c>
      <c r="I246" s="1">
        <v>45754</v>
      </c>
      <c r="J246" t="s">
        <v>32</v>
      </c>
      <c r="K246">
        <v>102</v>
      </c>
      <c r="L246">
        <v>329.94</v>
      </c>
      <c r="M246">
        <v>33653.879999999997</v>
      </c>
      <c r="N246">
        <v>6</v>
      </c>
      <c r="O246">
        <f>Orders[[#This Row],[Actual_Ship_Date]]-Orders[[#This Row],[Expected_Ship_Date]]</f>
        <v>0</v>
      </c>
    </row>
    <row r="247" spans="1:15" x14ac:dyDescent="0.25">
      <c r="A247" t="s">
        <v>292</v>
      </c>
      <c r="B247" t="s">
        <v>42</v>
      </c>
      <c r="C247" t="s">
        <v>51</v>
      </c>
      <c r="D247" t="s">
        <v>22</v>
      </c>
      <c r="E247" t="s">
        <v>26</v>
      </c>
      <c r="F247" s="1">
        <v>45679</v>
      </c>
      <c r="G247" s="1">
        <v>45683</v>
      </c>
      <c r="H247" s="1">
        <v>45684</v>
      </c>
      <c r="I247" s="1">
        <v>45688</v>
      </c>
      <c r="J247" t="s">
        <v>27</v>
      </c>
      <c r="K247">
        <v>89</v>
      </c>
      <c r="L247">
        <v>487.49</v>
      </c>
      <c r="M247">
        <v>43386.61</v>
      </c>
      <c r="N247">
        <v>5</v>
      </c>
      <c r="O247">
        <f>Orders[[#This Row],[Actual_Ship_Date]]-Orders[[#This Row],[Expected_Ship_Date]]</f>
        <v>1</v>
      </c>
    </row>
    <row r="248" spans="1:15" x14ac:dyDescent="0.25">
      <c r="A248" t="s">
        <v>293</v>
      </c>
      <c r="B248" t="s">
        <v>56</v>
      </c>
      <c r="C248" t="s">
        <v>51</v>
      </c>
      <c r="D248" t="s">
        <v>22</v>
      </c>
      <c r="E248" t="s">
        <v>57</v>
      </c>
      <c r="F248" s="1">
        <v>45773</v>
      </c>
      <c r="G248" s="1">
        <v>45787</v>
      </c>
      <c r="H248" s="1">
        <v>45789</v>
      </c>
      <c r="I248" s="1">
        <v>45793</v>
      </c>
      <c r="J248" t="s">
        <v>27</v>
      </c>
      <c r="K248">
        <v>24</v>
      </c>
      <c r="L248">
        <v>586.5</v>
      </c>
      <c r="M248">
        <v>14076</v>
      </c>
      <c r="N248">
        <v>16</v>
      </c>
      <c r="O248">
        <f>Orders[[#This Row],[Actual_Ship_Date]]-Orders[[#This Row],[Expected_Ship_Date]]</f>
        <v>2</v>
      </c>
    </row>
    <row r="249" spans="1:15" x14ac:dyDescent="0.25">
      <c r="A249" t="s">
        <v>294</v>
      </c>
      <c r="B249" t="s">
        <v>42</v>
      </c>
      <c r="C249" t="s">
        <v>25</v>
      </c>
      <c r="D249" t="s">
        <v>22</v>
      </c>
      <c r="E249" t="s">
        <v>63</v>
      </c>
      <c r="F249" s="1">
        <v>45660</v>
      </c>
      <c r="G249" s="1">
        <v>45666</v>
      </c>
      <c r="H249" s="1">
        <v>45668</v>
      </c>
      <c r="I249" s="1">
        <v>45670</v>
      </c>
      <c r="J249" t="s">
        <v>27</v>
      </c>
      <c r="K249">
        <v>187</v>
      </c>
      <c r="L249">
        <v>700.45</v>
      </c>
      <c r="M249">
        <v>130984.15</v>
      </c>
      <c r="N249">
        <v>8</v>
      </c>
      <c r="O249">
        <f>Orders[[#This Row],[Actual_Ship_Date]]-Orders[[#This Row],[Expected_Ship_Date]]</f>
        <v>2</v>
      </c>
    </row>
    <row r="250" spans="1:15" x14ac:dyDescent="0.25">
      <c r="A250" t="s">
        <v>295</v>
      </c>
      <c r="B250" t="s">
        <v>78</v>
      </c>
      <c r="C250" t="s">
        <v>16</v>
      </c>
      <c r="D250" t="s">
        <v>17</v>
      </c>
      <c r="E250" t="s">
        <v>40</v>
      </c>
      <c r="F250" s="1">
        <v>45688</v>
      </c>
      <c r="G250" s="1">
        <v>45700</v>
      </c>
      <c r="H250" s="1">
        <v>45705</v>
      </c>
      <c r="I250" s="1">
        <v>45709</v>
      </c>
      <c r="J250" t="s">
        <v>27</v>
      </c>
      <c r="K250">
        <v>143</v>
      </c>
      <c r="L250">
        <v>291.99</v>
      </c>
      <c r="M250">
        <v>41754.57</v>
      </c>
      <c r="N250">
        <v>17</v>
      </c>
      <c r="O250">
        <f>Orders[[#This Row],[Actual_Ship_Date]]-Orders[[#This Row],[Expected_Ship_Date]]</f>
        <v>5</v>
      </c>
    </row>
    <row r="251" spans="1:15" x14ac:dyDescent="0.25">
      <c r="A251" t="s">
        <v>296</v>
      </c>
      <c r="B251" t="s">
        <v>48</v>
      </c>
      <c r="C251" t="s">
        <v>21</v>
      </c>
      <c r="D251" t="s">
        <v>59</v>
      </c>
      <c r="E251" t="s">
        <v>31</v>
      </c>
      <c r="F251" s="1">
        <v>45702</v>
      </c>
      <c r="G251" s="1">
        <v>45705</v>
      </c>
      <c r="H251" s="1">
        <v>45705</v>
      </c>
      <c r="I251" s="1">
        <v>45709</v>
      </c>
      <c r="J251" t="s">
        <v>19</v>
      </c>
      <c r="K251">
        <v>92</v>
      </c>
      <c r="L251">
        <v>520.32000000000005</v>
      </c>
      <c r="M251">
        <v>47869.440000000002</v>
      </c>
      <c r="N251">
        <v>3</v>
      </c>
      <c r="O251">
        <f>Orders[[#This Row],[Actual_Ship_Date]]-Orders[[#This Row],[Expected_Ship_Date]]</f>
        <v>0</v>
      </c>
    </row>
    <row r="252" spans="1:15" x14ac:dyDescent="0.25">
      <c r="A252" t="s">
        <v>297</v>
      </c>
      <c r="B252" t="s">
        <v>38</v>
      </c>
      <c r="C252" t="s">
        <v>21</v>
      </c>
      <c r="D252" t="s">
        <v>22</v>
      </c>
      <c r="E252" t="s">
        <v>40</v>
      </c>
      <c r="F252" s="1">
        <v>45739</v>
      </c>
      <c r="G252" s="1">
        <v>45746</v>
      </c>
      <c r="H252" s="1">
        <v>45751</v>
      </c>
      <c r="I252" s="1">
        <v>45755</v>
      </c>
      <c r="J252" t="s">
        <v>27</v>
      </c>
      <c r="K252">
        <v>96</v>
      </c>
      <c r="L252">
        <v>476.79</v>
      </c>
      <c r="M252">
        <v>45771.839999999997</v>
      </c>
      <c r="N252">
        <v>12</v>
      </c>
      <c r="O252">
        <f>Orders[[#This Row],[Actual_Ship_Date]]-Orders[[#This Row],[Expected_Ship_Date]]</f>
        <v>5</v>
      </c>
    </row>
    <row r="253" spans="1:15" x14ac:dyDescent="0.25">
      <c r="A253" t="s">
        <v>298</v>
      </c>
      <c r="B253" t="s">
        <v>42</v>
      </c>
      <c r="C253" t="s">
        <v>16</v>
      </c>
      <c r="D253" t="s">
        <v>59</v>
      </c>
      <c r="E253" t="s">
        <v>26</v>
      </c>
      <c r="F253" s="1">
        <v>45732</v>
      </c>
      <c r="G253" s="1">
        <v>45745</v>
      </c>
      <c r="H253" s="1">
        <v>45746</v>
      </c>
      <c r="I253" s="1">
        <v>45747</v>
      </c>
      <c r="J253" t="s">
        <v>27</v>
      </c>
      <c r="K253">
        <v>80</v>
      </c>
      <c r="L253">
        <v>681.38</v>
      </c>
      <c r="M253">
        <v>54510.400000000001</v>
      </c>
      <c r="N253">
        <v>14</v>
      </c>
      <c r="O253">
        <f>Orders[[#This Row],[Actual_Ship_Date]]-Orders[[#This Row],[Expected_Ship_Date]]</f>
        <v>1</v>
      </c>
    </row>
    <row r="254" spans="1:15" x14ac:dyDescent="0.25">
      <c r="A254" t="s">
        <v>299</v>
      </c>
      <c r="B254" t="s">
        <v>42</v>
      </c>
      <c r="C254" t="s">
        <v>51</v>
      </c>
      <c r="D254" t="s">
        <v>59</v>
      </c>
      <c r="E254" t="s">
        <v>18</v>
      </c>
      <c r="F254" s="1">
        <v>45706</v>
      </c>
      <c r="G254" s="1">
        <v>45720</v>
      </c>
      <c r="H254" s="1">
        <v>45725</v>
      </c>
      <c r="I254" s="1">
        <v>45727</v>
      </c>
      <c r="J254" t="s">
        <v>27</v>
      </c>
      <c r="K254">
        <v>86</v>
      </c>
      <c r="L254">
        <v>316.18</v>
      </c>
      <c r="M254">
        <v>27191.48</v>
      </c>
      <c r="N254">
        <v>19</v>
      </c>
      <c r="O254">
        <f>Orders[[#This Row],[Actual_Ship_Date]]-Orders[[#This Row],[Expected_Ship_Date]]</f>
        <v>5</v>
      </c>
    </row>
    <row r="255" spans="1:15" x14ac:dyDescent="0.25">
      <c r="A255" t="s">
        <v>300</v>
      </c>
      <c r="B255" t="s">
        <v>15</v>
      </c>
      <c r="C255" t="s">
        <v>21</v>
      </c>
      <c r="D255" t="s">
        <v>35</v>
      </c>
      <c r="E255" t="s">
        <v>31</v>
      </c>
      <c r="F255" s="1">
        <v>45704</v>
      </c>
      <c r="G255" s="1">
        <v>45719</v>
      </c>
      <c r="H255" s="1">
        <v>45719</v>
      </c>
      <c r="I255" s="1">
        <v>45720</v>
      </c>
      <c r="J255" t="s">
        <v>32</v>
      </c>
      <c r="K255">
        <v>115</v>
      </c>
      <c r="L255">
        <v>389.78</v>
      </c>
      <c r="M255">
        <v>44824.7</v>
      </c>
      <c r="N255">
        <v>15</v>
      </c>
      <c r="O255">
        <f>Orders[[#This Row],[Actual_Ship_Date]]-Orders[[#This Row],[Expected_Ship_Date]]</f>
        <v>0</v>
      </c>
    </row>
    <row r="256" spans="1:15" x14ac:dyDescent="0.25">
      <c r="A256" t="s">
        <v>301</v>
      </c>
      <c r="B256" t="s">
        <v>29</v>
      </c>
      <c r="C256" t="s">
        <v>25</v>
      </c>
      <c r="D256" t="s">
        <v>39</v>
      </c>
      <c r="E256" t="s">
        <v>18</v>
      </c>
      <c r="F256" s="1">
        <v>45669</v>
      </c>
      <c r="G256" s="1">
        <v>45677</v>
      </c>
      <c r="H256" s="1">
        <v>45679</v>
      </c>
      <c r="I256" s="1">
        <v>45680</v>
      </c>
      <c r="J256" t="s">
        <v>27</v>
      </c>
      <c r="K256">
        <v>88</v>
      </c>
      <c r="L256">
        <v>736.2</v>
      </c>
      <c r="M256">
        <v>64785.599999999999</v>
      </c>
      <c r="N256">
        <v>10</v>
      </c>
      <c r="O256">
        <f>Orders[[#This Row],[Actual_Ship_Date]]-Orders[[#This Row],[Expected_Ship_Date]]</f>
        <v>2</v>
      </c>
    </row>
    <row r="257" spans="1:15" x14ac:dyDescent="0.25">
      <c r="A257" t="s">
        <v>302</v>
      </c>
      <c r="B257" t="s">
        <v>78</v>
      </c>
      <c r="C257" t="s">
        <v>21</v>
      </c>
      <c r="D257" t="s">
        <v>22</v>
      </c>
      <c r="E257" t="s">
        <v>26</v>
      </c>
      <c r="F257" s="1">
        <v>45757</v>
      </c>
      <c r="G257" s="1">
        <v>45761</v>
      </c>
      <c r="H257" s="1">
        <v>45764</v>
      </c>
      <c r="I257" s="1">
        <v>45769</v>
      </c>
      <c r="J257" t="s">
        <v>27</v>
      </c>
      <c r="K257">
        <v>67</v>
      </c>
      <c r="L257">
        <v>492.59</v>
      </c>
      <c r="M257">
        <v>33003.53</v>
      </c>
      <c r="N257">
        <v>7</v>
      </c>
      <c r="O257">
        <f>Orders[[#This Row],[Actual_Ship_Date]]-Orders[[#This Row],[Expected_Ship_Date]]</f>
        <v>3</v>
      </c>
    </row>
    <row r="258" spans="1:15" x14ac:dyDescent="0.25">
      <c r="A258" t="s">
        <v>303</v>
      </c>
      <c r="B258" t="s">
        <v>56</v>
      </c>
      <c r="C258" t="s">
        <v>30</v>
      </c>
      <c r="D258" t="s">
        <v>35</v>
      </c>
      <c r="E258" t="s">
        <v>57</v>
      </c>
      <c r="F258" s="1">
        <v>45692</v>
      </c>
      <c r="G258" s="1">
        <v>45699</v>
      </c>
      <c r="H258" s="1">
        <v>45699</v>
      </c>
      <c r="I258" s="1">
        <v>45703</v>
      </c>
      <c r="J258" t="s">
        <v>32</v>
      </c>
      <c r="K258">
        <v>116</v>
      </c>
      <c r="L258">
        <v>245.43</v>
      </c>
      <c r="M258">
        <v>28469.88</v>
      </c>
      <c r="N258">
        <v>7</v>
      </c>
      <c r="O258">
        <f>Orders[[#This Row],[Actual_Ship_Date]]-Orders[[#This Row],[Expected_Ship_Date]]</f>
        <v>0</v>
      </c>
    </row>
    <row r="259" spans="1:15" x14ac:dyDescent="0.25">
      <c r="A259" t="s">
        <v>304</v>
      </c>
      <c r="B259" t="s">
        <v>78</v>
      </c>
      <c r="C259" t="s">
        <v>25</v>
      </c>
      <c r="D259" t="s">
        <v>35</v>
      </c>
      <c r="E259" t="s">
        <v>18</v>
      </c>
      <c r="F259" s="1">
        <v>45690</v>
      </c>
      <c r="G259" s="1">
        <v>45696</v>
      </c>
      <c r="H259" s="1">
        <v>45699</v>
      </c>
      <c r="I259" s="1">
        <v>45703</v>
      </c>
      <c r="J259" t="s">
        <v>27</v>
      </c>
      <c r="K259">
        <v>55</v>
      </c>
      <c r="L259">
        <v>397.31</v>
      </c>
      <c r="M259">
        <v>21852.05</v>
      </c>
      <c r="N259">
        <v>9</v>
      </c>
      <c r="O259">
        <f>Orders[[#This Row],[Actual_Ship_Date]]-Orders[[#This Row],[Expected_Ship_Date]]</f>
        <v>3</v>
      </c>
    </row>
    <row r="260" spans="1:15" x14ac:dyDescent="0.25">
      <c r="A260" t="s">
        <v>305</v>
      </c>
      <c r="B260" t="s">
        <v>48</v>
      </c>
      <c r="C260" t="s">
        <v>43</v>
      </c>
      <c r="D260" t="s">
        <v>59</v>
      </c>
      <c r="E260" t="s">
        <v>57</v>
      </c>
      <c r="F260" s="1">
        <v>45700</v>
      </c>
      <c r="G260" s="1">
        <v>45712</v>
      </c>
      <c r="H260" s="1">
        <v>45713</v>
      </c>
      <c r="I260" s="1">
        <v>45716</v>
      </c>
      <c r="J260" t="s">
        <v>27</v>
      </c>
      <c r="K260">
        <v>115</v>
      </c>
      <c r="L260">
        <v>695.92</v>
      </c>
      <c r="M260">
        <v>80030.8</v>
      </c>
      <c r="N260">
        <v>13</v>
      </c>
      <c r="O260">
        <f>Orders[[#This Row],[Actual_Ship_Date]]-Orders[[#This Row],[Expected_Ship_Date]]</f>
        <v>1</v>
      </c>
    </row>
    <row r="261" spans="1:15" x14ac:dyDescent="0.25">
      <c r="A261" t="s">
        <v>306</v>
      </c>
      <c r="B261" t="s">
        <v>56</v>
      </c>
      <c r="C261" t="s">
        <v>30</v>
      </c>
      <c r="D261" t="s">
        <v>17</v>
      </c>
      <c r="E261" t="s">
        <v>26</v>
      </c>
      <c r="F261" s="1">
        <v>45735</v>
      </c>
      <c r="G261" s="1">
        <v>45749</v>
      </c>
      <c r="H261" s="1">
        <v>45749</v>
      </c>
      <c r="I261" s="1">
        <v>45753</v>
      </c>
      <c r="J261" t="s">
        <v>32</v>
      </c>
      <c r="K261">
        <v>106</v>
      </c>
      <c r="L261">
        <v>823.89</v>
      </c>
      <c r="M261">
        <v>87332.34</v>
      </c>
      <c r="N261">
        <v>14</v>
      </c>
      <c r="O261">
        <f>Orders[[#This Row],[Actual_Ship_Date]]-Orders[[#This Row],[Expected_Ship_Date]]</f>
        <v>0</v>
      </c>
    </row>
    <row r="262" spans="1:15" x14ac:dyDescent="0.25">
      <c r="A262" t="s">
        <v>307</v>
      </c>
      <c r="B262" t="s">
        <v>15</v>
      </c>
      <c r="C262" t="s">
        <v>43</v>
      </c>
      <c r="D262" t="s">
        <v>17</v>
      </c>
      <c r="E262" t="s">
        <v>31</v>
      </c>
      <c r="F262" s="1">
        <v>45699</v>
      </c>
      <c r="G262" s="1">
        <v>45708</v>
      </c>
      <c r="H262" s="1">
        <v>45708</v>
      </c>
      <c r="I262" s="1">
        <v>45712</v>
      </c>
      <c r="J262" t="s">
        <v>32</v>
      </c>
      <c r="K262">
        <v>149</v>
      </c>
      <c r="L262">
        <v>181.83</v>
      </c>
      <c r="M262">
        <v>27092.67</v>
      </c>
      <c r="N262">
        <v>9</v>
      </c>
      <c r="O262">
        <f>Orders[[#This Row],[Actual_Ship_Date]]-Orders[[#This Row],[Expected_Ship_Date]]</f>
        <v>0</v>
      </c>
    </row>
    <row r="263" spans="1:15" x14ac:dyDescent="0.25">
      <c r="A263" t="s">
        <v>308</v>
      </c>
      <c r="B263" t="s">
        <v>42</v>
      </c>
      <c r="C263" t="s">
        <v>21</v>
      </c>
      <c r="D263" t="s">
        <v>39</v>
      </c>
      <c r="E263" t="s">
        <v>26</v>
      </c>
      <c r="F263" s="1">
        <v>45751</v>
      </c>
      <c r="G263" s="1">
        <v>45761</v>
      </c>
      <c r="H263" s="1">
        <v>45764</v>
      </c>
      <c r="I263" s="1">
        <v>45766</v>
      </c>
      <c r="J263" t="s">
        <v>27</v>
      </c>
      <c r="K263">
        <v>79</v>
      </c>
      <c r="L263">
        <v>709.12</v>
      </c>
      <c r="M263">
        <v>56020.480000000003</v>
      </c>
      <c r="N263">
        <v>13</v>
      </c>
      <c r="O263">
        <f>Orders[[#This Row],[Actual_Ship_Date]]-Orders[[#This Row],[Expected_Ship_Date]]</f>
        <v>3</v>
      </c>
    </row>
    <row r="264" spans="1:15" x14ac:dyDescent="0.25">
      <c r="A264" t="s">
        <v>309</v>
      </c>
      <c r="B264" t="s">
        <v>48</v>
      </c>
      <c r="C264" t="s">
        <v>30</v>
      </c>
      <c r="D264" t="s">
        <v>17</v>
      </c>
      <c r="E264" t="s">
        <v>18</v>
      </c>
      <c r="F264" s="1">
        <v>45739</v>
      </c>
      <c r="G264" s="1">
        <v>45746</v>
      </c>
      <c r="H264" s="1">
        <v>45746</v>
      </c>
      <c r="I264" s="1">
        <v>45749</v>
      </c>
      <c r="J264" t="s">
        <v>19</v>
      </c>
      <c r="K264">
        <v>101</v>
      </c>
      <c r="L264">
        <v>76.760000000000005</v>
      </c>
      <c r="M264">
        <v>7752.76</v>
      </c>
      <c r="N264">
        <v>7</v>
      </c>
      <c r="O264">
        <f>Orders[[#This Row],[Actual_Ship_Date]]-Orders[[#This Row],[Expected_Ship_Date]]</f>
        <v>0</v>
      </c>
    </row>
    <row r="265" spans="1:15" x14ac:dyDescent="0.25">
      <c r="A265" t="s">
        <v>310</v>
      </c>
      <c r="B265" t="s">
        <v>15</v>
      </c>
      <c r="C265" t="s">
        <v>16</v>
      </c>
      <c r="D265" t="s">
        <v>35</v>
      </c>
      <c r="E265" t="s">
        <v>26</v>
      </c>
      <c r="F265" s="1">
        <v>45726</v>
      </c>
      <c r="G265" s="1">
        <v>45737</v>
      </c>
      <c r="H265" s="1">
        <v>45742</v>
      </c>
      <c r="I265" s="1">
        <v>45746</v>
      </c>
      <c r="J265" t="s">
        <v>27</v>
      </c>
      <c r="K265">
        <v>97</v>
      </c>
      <c r="L265">
        <v>600.86</v>
      </c>
      <c r="M265">
        <v>58283.42</v>
      </c>
      <c r="N265">
        <v>16</v>
      </c>
      <c r="O265">
        <f>Orders[[#This Row],[Actual_Ship_Date]]-Orders[[#This Row],[Expected_Ship_Date]]</f>
        <v>5</v>
      </c>
    </row>
    <row r="266" spans="1:15" x14ac:dyDescent="0.25">
      <c r="A266" t="s">
        <v>311</v>
      </c>
      <c r="B266" t="s">
        <v>38</v>
      </c>
      <c r="C266" t="s">
        <v>46</v>
      </c>
      <c r="D266" t="s">
        <v>39</v>
      </c>
      <c r="E266" t="s">
        <v>31</v>
      </c>
      <c r="F266" s="1">
        <v>45742</v>
      </c>
      <c r="G266" s="1">
        <v>45755</v>
      </c>
      <c r="H266" s="1">
        <v>45755</v>
      </c>
      <c r="I266" s="1">
        <v>45757</v>
      </c>
      <c r="J266" t="s">
        <v>19</v>
      </c>
      <c r="K266">
        <v>170</v>
      </c>
      <c r="L266">
        <v>580.69000000000005</v>
      </c>
      <c r="M266">
        <v>98717.3</v>
      </c>
      <c r="N266">
        <v>13</v>
      </c>
      <c r="O266">
        <f>Orders[[#This Row],[Actual_Ship_Date]]-Orders[[#This Row],[Expected_Ship_Date]]</f>
        <v>0</v>
      </c>
    </row>
    <row r="267" spans="1:15" x14ac:dyDescent="0.25">
      <c r="A267" t="s">
        <v>312</v>
      </c>
      <c r="B267" t="s">
        <v>48</v>
      </c>
      <c r="C267" t="s">
        <v>43</v>
      </c>
      <c r="D267" t="s">
        <v>59</v>
      </c>
      <c r="E267" t="s">
        <v>31</v>
      </c>
      <c r="F267" s="1">
        <v>45659</v>
      </c>
      <c r="G267" s="1">
        <v>45663</v>
      </c>
      <c r="H267" s="1">
        <v>45663</v>
      </c>
      <c r="I267" s="1">
        <v>45665</v>
      </c>
      <c r="J267" t="s">
        <v>19</v>
      </c>
      <c r="K267">
        <v>105</v>
      </c>
      <c r="L267">
        <v>401.66</v>
      </c>
      <c r="M267">
        <v>42174.3</v>
      </c>
      <c r="N267">
        <v>4</v>
      </c>
      <c r="O267">
        <f>Orders[[#This Row],[Actual_Ship_Date]]-Orders[[#This Row],[Expected_Ship_Date]]</f>
        <v>0</v>
      </c>
    </row>
    <row r="268" spans="1:15" x14ac:dyDescent="0.25">
      <c r="A268" t="s">
        <v>313</v>
      </c>
      <c r="B268" t="s">
        <v>56</v>
      </c>
      <c r="C268" t="s">
        <v>46</v>
      </c>
      <c r="D268" t="s">
        <v>39</v>
      </c>
      <c r="E268" t="s">
        <v>26</v>
      </c>
      <c r="F268" s="1">
        <v>45719</v>
      </c>
      <c r="G268" s="1">
        <v>45723</v>
      </c>
      <c r="H268" s="1">
        <v>45723</v>
      </c>
      <c r="I268" s="1">
        <v>45727</v>
      </c>
      <c r="J268" t="s">
        <v>32</v>
      </c>
      <c r="K268">
        <v>191</v>
      </c>
      <c r="L268">
        <v>133.30000000000001</v>
      </c>
      <c r="M268">
        <v>25460.3</v>
      </c>
      <c r="N268">
        <v>4</v>
      </c>
      <c r="O268">
        <f>Orders[[#This Row],[Actual_Ship_Date]]-Orders[[#This Row],[Expected_Ship_Date]]</f>
        <v>0</v>
      </c>
    </row>
    <row r="269" spans="1:15" x14ac:dyDescent="0.25">
      <c r="A269" t="s">
        <v>314</v>
      </c>
      <c r="B269" t="s">
        <v>42</v>
      </c>
      <c r="C269" t="s">
        <v>25</v>
      </c>
      <c r="D269" t="s">
        <v>35</v>
      </c>
      <c r="E269" t="s">
        <v>40</v>
      </c>
      <c r="F269" s="1">
        <v>45724</v>
      </c>
      <c r="G269" s="1">
        <v>45734</v>
      </c>
      <c r="H269" s="1">
        <v>45734</v>
      </c>
      <c r="I269" s="1">
        <v>45738</v>
      </c>
      <c r="J269" t="s">
        <v>19</v>
      </c>
      <c r="K269">
        <v>183</v>
      </c>
      <c r="L269">
        <v>392.79</v>
      </c>
      <c r="M269">
        <v>71880.570000000007</v>
      </c>
      <c r="N269">
        <v>10</v>
      </c>
      <c r="O269">
        <f>Orders[[#This Row],[Actual_Ship_Date]]-Orders[[#This Row],[Expected_Ship_Date]]</f>
        <v>0</v>
      </c>
    </row>
    <row r="270" spans="1:15" x14ac:dyDescent="0.25">
      <c r="A270" t="s">
        <v>315</v>
      </c>
      <c r="B270" t="s">
        <v>45</v>
      </c>
      <c r="C270" t="s">
        <v>43</v>
      </c>
      <c r="D270" t="s">
        <v>17</v>
      </c>
      <c r="E270" t="s">
        <v>26</v>
      </c>
      <c r="F270" s="1">
        <v>45672</v>
      </c>
      <c r="G270" s="1">
        <v>45675</v>
      </c>
      <c r="H270" s="1">
        <v>45680</v>
      </c>
      <c r="I270" s="1">
        <v>45683</v>
      </c>
      <c r="J270" t="s">
        <v>27</v>
      </c>
      <c r="K270">
        <v>178</v>
      </c>
      <c r="L270">
        <v>683.04</v>
      </c>
      <c r="M270">
        <v>121581.12</v>
      </c>
      <c r="N270">
        <v>8</v>
      </c>
      <c r="O270">
        <f>Orders[[#This Row],[Actual_Ship_Date]]-Orders[[#This Row],[Expected_Ship_Date]]</f>
        <v>5</v>
      </c>
    </row>
    <row r="271" spans="1:15" x14ac:dyDescent="0.25">
      <c r="A271" t="s">
        <v>316</v>
      </c>
      <c r="B271" t="s">
        <v>78</v>
      </c>
      <c r="C271" t="s">
        <v>21</v>
      </c>
      <c r="D271" t="s">
        <v>39</v>
      </c>
      <c r="E271" t="s">
        <v>31</v>
      </c>
      <c r="F271" s="1">
        <v>45700</v>
      </c>
      <c r="G271" s="1">
        <v>45711</v>
      </c>
      <c r="H271" s="1">
        <v>45712</v>
      </c>
      <c r="I271" s="1">
        <v>45716</v>
      </c>
      <c r="J271" t="s">
        <v>27</v>
      </c>
      <c r="K271">
        <v>108</v>
      </c>
      <c r="L271">
        <v>540.85</v>
      </c>
      <c r="M271">
        <v>58411.8</v>
      </c>
      <c r="N271">
        <v>12</v>
      </c>
      <c r="O271">
        <f>Orders[[#This Row],[Actual_Ship_Date]]-Orders[[#This Row],[Expected_Ship_Date]]</f>
        <v>1</v>
      </c>
    </row>
    <row r="272" spans="1:15" x14ac:dyDescent="0.25">
      <c r="A272" t="s">
        <v>317</v>
      </c>
      <c r="B272" t="s">
        <v>56</v>
      </c>
      <c r="C272" t="s">
        <v>16</v>
      </c>
      <c r="D272" t="s">
        <v>17</v>
      </c>
      <c r="E272" t="s">
        <v>31</v>
      </c>
      <c r="F272" s="1">
        <v>45752</v>
      </c>
      <c r="G272" s="1">
        <v>45764</v>
      </c>
      <c r="H272" s="1">
        <v>45764</v>
      </c>
      <c r="I272" s="1">
        <v>45768</v>
      </c>
      <c r="J272" t="s">
        <v>36</v>
      </c>
      <c r="K272">
        <v>185</v>
      </c>
      <c r="L272">
        <v>194.35</v>
      </c>
      <c r="M272">
        <v>35954.75</v>
      </c>
      <c r="N272">
        <v>12</v>
      </c>
      <c r="O272">
        <f>Orders[[#This Row],[Actual_Ship_Date]]-Orders[[#This Row],[Expected_Ship_Date]]</f>
        <v>0</v>
      </c>
    </row>
    <row r="273" spans="1:15" x14ac:dyDescent="0.25">
      <c r="A273" t="s">
        <v>318</v>
      </c>
      <c r="B273" t="s">
        <v>53</v>
      </c>
      <c r="C273" t="s">
        <v>46</v>
      </c>
      <c r="D273" t="s">
        <v>17</v>
      </c>
      <c r="E273" t="s">
        <v>18</v>
      </c>
      <c r="F273" s="1">
        <v>45760</v>
      </c>
      <c r="G273" s="1">
        <v>45771</v>
      </c>
      <c r="H273" s="1">
        <v>45771</v>
      </c>
      <c r="I273" s="1">
        <v>45774</v>
      </c>
      <c r="J273" t="s">
        <v>32</v>
      </c>
      <c r="K273">
        <v>34</v>
      </c>
      <c r="L273">
        <v>234.07</v>
      </c>
      <c r="M273">
        <v>7958.38</v>
      </c>
      <c r="N273">
        <v>11</v>
      </c>
      <c r="O273">
        <f>Orders[[#This Row],[Actual_Ship_Date]]-Orders[[#This Row],[Expected_Ship_Date]]</f>
        <v>0</v>
      </c>
    </row>
    <row r="274" spans="1:15" x14ac:dyDescent="0.25">
      <c r="A274" t="s">
        <v>319</v>
      </c>
      <c r="B274" t="s">
        <v>56</v>
      </c>
      <c r="C274" t="s">
        <v>16</v>
      </c>
      <c r="D274" t="s">
        <v>22</v>
      </c>
      <c r="E274" t="s">
        <v>57</v>
      </c>
      <c r="F274" s="1">
        <v>45736</v>
      </c>
      <c r="G274" s="1">
        <v>45745</v>
      </c>
      <c r="H274" s="1">
        <v>45747</v>
      </c>
      <c r="I274" s="1">
        <v>45748</v>
      </c>
      <c r="J274" t="s">
        <v>27</v>
      </c>
      <c r="K274">
        <v>122</v>
      </c>
      <c r="L274">
        <v>530.5</v>
      </c>
      <c r="M274">
        <v>64721</v>
      </c>
      <c r="N274">
        <v>11</v>
      </c>
      <c r="O274">
        <f>Orders[[#This Row],[Actual_Ship_Date]]-Orders[[#This Row],[Expected_Ship_Date]]</f>
        <v>2</v>
      </c>
    </row>
    <row r="275" spans="1:15" x14ac:dyDescent="0.25">
      <c r="A275" t="s">
        <v>320</v>
      </c>
      <c r="B275" t="s">
        <v>38</v>
      </c>
      <c r="C275" t="s">
        <v>43</v>
      </c>
      <c r="D275" t="s">
        <v>17</v>
      </c>
      <c r="E275" t="s">
        <v>18</v>
      </c>
      <c r="F275" s="1">
        <v>45673</v>
      </c>
      <c r="G275" s="1">
        <v>45679</v>
      </c>
      <c r="H275" s="1">
        <v>45679</v>
      </c>
      <c r="I275" s="1">
        <v>45680</v>
      </c>
      <c r="J275" t="s">
        <v>19</v>
      </c>
      <c r="K275">
        <v>41</v>
      </c>
      <c r="L275">
        <v>441.54</v>
      </c>
      <c r="M275">
        <v>18103.14</v>
      </c>
      <c r="N275">
        <v>6</v>
      </c>
      <c r="O275">
        <f>Orders[[#This Row],[Actual_Ship_Date]]-Orders[[#This Row],[Expected_Ship_Date]]</f>
        <v>0</v>
      </c>
    </row>
    <row r="276" spans="1:15" x14ac:dyDescent="0.25">
      <c r="A276" t="s">
        <v>321</v>
      </c>
      <c r="B276" t="s">
        <v>78</v>
      </c>
      <c r="C276" t="s">
        <v>43</v>
      </c>
      <c r="D276" t="s">
        <v>39</v>
      </c>
      <c r="E276" t="s">
        <v>57</v>
      </c>
      <c r="F276" s="1">
        <v>45712</v>
      </c>
      <c r="G276" s="1">
        <v>45717</v>
      </c>
      <c r="H276" s="1">
        <v>45718</v>
      </c>
      <c r="I276" s="1">
        <v>45723</v>
      </c>
      <c r="J276" t="s">
        <v>27</v>
      </c>
      <c r="K276">
        <v>170</v>
      </c>
      <c r="L276">
        <v>792.13</v>
      </c>
      <c r="M276">
        <v>134662.1</v>
      </c>
      <c r="N276">
        <v>6</v>
      </c>
      <c r="O276">
        <f>Orders[[#This Row],[Actual_Ship_Date]]-Orders[[#This Row],[Expected_Ship_Date]]</f>
        <v>1</v>
      </c>
    </row>
    <row r="277" spans="1:15" x14ac:dyDescent="0.25">
      <c r="A277" t="s">
        <v>322</v>
      </c>
      <c r="B277" t="s">
        <v>45</v>
      </c>
      <c r="C277" t="s">
        <v>21</v>
      </c>
      <c r="D277" t="s">
        <v>17</v>
      </c>
      <c r="E277" t="s">
        <v>63</v>
      </c>
      <c r="F277" s="1">
        <v>45675</v>
      </c>
      <c r="G277" s="1">
        <v>45680</v>
      </c>
      <c r="H277" s="1">
        <v>45680</v>
      </c>
      <c r="I277" s="1">
        <v>45684</v>
      </c>
      <c r="J277" t="s">
        <v>19</v>
      </c>
      <c r="K277">
        <v>7</v>
      </c>
      <c r="L277">
        <v>419.65</v>
      </c>
      <c r="M277">
        <v>2937.55</v>
      </c>
      <c r="N277">
        <v>5</v>
      </c>
      <c r="O277">
        <f>Orders[[#This Row],[Actual_Ship_Date]]-Orders[[#This Row],[Expected_Ship_Date]]</f>
        <v>0</v>
      </c>
    </row>
    <row r="278" spans="1:15" x14ac:dyDescent="0.25">
      <c r="A278" t="s">
        <v>323</v>
      </c>
      <c r="B278" t="s">
        <v>42</v>
      </c>
      <c r="C278" t="s">
        <v>51</v>
      </c>
      <c r="D278" t="s">
        <v>22</v>
      </c>
      <c r="E278" t="s">
        <v>57</v>
      </c>
      <c r="F278" s="1">
        <v>45741</v>
      </c>
      <c r="G278" s="1">
        <v>45751</v>
      </c>
      <c r="H278" s="1">
        <v>45752</v>
      </c>
      <c r="I278" s="1">
        <v>45756</v>
      </c>
      <c r="J278" t="s">
        <v>27</v>
      </c>
      <c r="K278">
        <v>118</v>
      </c>
      <c r="L278">
        <v>423.06</v>
      </c>
      <c r="M278">
        <v>49921.08</v>
      </c>
      <c r="N278">
        <v>11</v>
      </c>
      <c r="O278">
        <f>Orders[[#This Row],[Actual_Ship_Date]]-Orders[[#This Row],[Expected_Ship_Date]]</f>
        <v>1</v>
      </c>
    </row>
    <row r="279" spans="1:15" x14ac:dyDescent="0.25">
      <c r="A279" t="s">
        <v>324</v>
      </c>
      <c r="B279" t="s">
        <v>53</v>
      </c>
      <c r="C279" t="s">
        <v>16</v>
      </c>
      <c r="D279" t="s">
        <v>17</v>
      </c>
      <c r="E279" t="s">
        <v>31</v>
      </c>
      <c r="F279" s="1">
        <v>45662</v>
      </c>
      <c r="G279" s="1">
        <v>45669</v>
      </c>
      <c r="H279" s="1">
        <v>45669</v>
      </c>
      <c r="I279" s="1">
        <v>45674</v>
      </c>
      <c r="J279" t="s">
        <v>32</v>
      </c>
      <c r="K279">
        <v>122</v>
      </c>
      <c r="L279">
        <v>487.32</v>
      </c>
      <c r="M279">
        <v>59453.04</v>
      </c>
      <c r="N279">
        <v>7</v>
      </c>
      <c r="O279">
        <f>Orders[[#This Row],[Actual_Ship_Date]]-Orders[[#This Row],[Expected_Ship_Date]]</f>
        <v>0</v>
      </c>
    </row>
    <row r="280" spans="1:15" x14ac:dyDescent="0.25">
      <c r="A280" t="s">
        <v>325</v>
      </c>
      <c r="B280" t="s">
        <v>53</v>
      </c>
      <c r="C280" t="s">
        <v>34</v>
      </c>
      <c r="D280" t="s">
        <v>39</v>
      </c>
      <c r="E280" t="s">
        <v>31</v>
      </c>
      <c r="F280" s="1">
        <v>45692</v>
      </c>
      <c r="G280" s="1">
        <v>45707</v>
      </c>
      <c r="H280" s="1">
        <v>45709</v>
      </c>
      <c r="I280" s="1">
        <v>45712</v>
      </c>
      <c r="J280" t="s">
        <v>27</v>
      </c>
      <c r="K280">
        <v>198</v>
      </c>
      <c r="L280">
        <v>49.74</v>
      </c>
      <c r="M280">
        <v>9848.52</v>
      </c>
      <c r="N280">
        <v>17</v>
      </c>
      <c r="O280">
        <f>Orders[[#This Row],[Actual_Ship_Date]]-Orders[[#This Row],[Expected_Ship_Date]]</f>
        <v>2</v>
      </c>
    </row>
    <row r="281" spans="1:15" x14ac:dyDescent="0.25">
      <c r="A281" t="s">
        <v>326</v>
      </c>
      <c r="B281" t="s">
        <v>24</v>
      </c>
      <c r="C281" t="s">
        <v>16</v>
      </c>
      <c r="D281" t="s">
        <v>39</v>
      </c>
      <c r="E281" t="s">
        <v>31</v>
      </c>
      <c r="F281" s="1">
        <v>45752</v>
      </c>
      <c r="G281" s="1">
        <v>45765</v>
      </c>
      <c r="H281" s="1">
        <v>45770</v>
      </c>
      <c r="I281" s="1">
        <v>45772</v>
      </c>
      <c r="J281" t="s">
        <v>27</v>
      </c>
      <c r="K281">
        <v>13</v>
      </c>
      <c r="L281">
        <v>390.53</v>
      </c>
      <c r="M281">
        <v>5076.8900000000003</v>
      </c>
      <c r="N281">
        <v>18</v>
      </c>
      <c r="O281">
        <f>Orders[[#This Row],[Actual_Ship_Date]]-Orders[[#This Row],[Expected_Ship_Date]]</f>
        <v>5</v>
      </c>
    </row>
    <row r="282" spans="1:15" x14ac:dyDescent="0.25">
      <c r="A282" t="s">
        <v>327</v>
      </c>
      <c r="B282" t="s">
        <v>78</v>
      </c>
      <c r="C282" t="s">
        <v>43</v>
      </c>
      <c r="D282" t="s">
        <v>22</v>
      </c>
      <c r="E282" t="s">
        <v>26</v>
      </c>
      <c r="F282" s="1">
        <v>45757</v>
      </c>
      <c r="G282" s="1">
        <v>45772</v>
      </c>
      <c r="H282" s="1">
        <v>45772</v>
      </c>
      <c r="I282" s="1">
        <v>45774</v>
      </c>
      <c r="J282" t="s">
        <v>36</v>
      </c>
      <c r="K282">
        <v>161</v>
      </c>
      <c r="L282">
        <v>543.36</v>
      </c>
      <c r="M282">
        <v>87480.960000000006</v>
      </c>
      <c r="N282">
        <v>15</v>
      </c>
      <c r="O282">
        <f>Orders[[#This Row],[Actual_Ship_Date]]-Orders[[#This Row],[Expected_Ship_Date]]</f>
        <v>0</v>
      </c>
    </row>
    <row r="283" spans="1:15" x14ac:dyDescent="0.25">
      <c r="A283" t="s">
        <v>328</v>
      </c>
      <c r="B283" t="s">
        <v>24</v>
      </c>
      <c r="C283" t="s">
        <v>25</v>
      </c>
      <c r="D283" t="s">
        <v>59</v>
      </c>
      <c r="E283" t="s">
        <v>63</v>
      </c>
      <c r="F283" s="1">
        <v>45761</v>
      </c>
      <c r="G283" s="1">
        <v>45764</v>
      </c>
      <c r="H283" s="1">
        <v>45766</v>
      </c>
      <c r="I283" s="1">
        <v>45769</v>
      </c>
      <c r="J283" t="s">
        <v>27</v>
      </c>
      <c r="K283">
        <v>157</v>
      </c>
      <c r="L283">
        <v>464.87</v>
      </c>
      <c r="M283">
        <v>72984.59</v>
      </c>
      <c r="N283">
        <v>5</v>
      </c>
      <c r="O283">
        <f>Orders[[#This Row],[Actual_Ship_Date]]-Orders[[#This Row],[Expected_Ship_Date]]</f>
        <v>2</v>
      </c>
    </row>
    <row r="284" spans="1:15" x14ac:dyDescent="0.25">
      <c r="A284" t="s">
        <v>329</v>
      </c>
      <c r="B284" t="s">
        <v>29</v>
      </c>
      <c r="C284" t="s">
        <v>25</v>
      </c>
      <c r="D284" t="s">
        <v>22</v>
      </c>
      <c r="E284" t="s">
        <v>40</v>
      </c>
      <c r="F284" s="1">
        <v>45692</v>
      </c>
      <c r="G284" s="1">
        <v>45703</v>
      </c>
      <c r="H284" s="1">
        <v>45706</v>
      </c>
      <c r="I284" s="1">
        <v>45707</v>
      </c>
      <c r="J284" t="s">
        <v>32</v>
      </c>
      <c r="K284">
        <v>197</v>
      </c>
      <c r="L284">
        <v>671.05</v>
      </c>
      <c r="M284">
        <v>132196.85</v>
      </c>
      <c r="N284">
        <v>14</v>
      </c>
      <c r="O284">
        <f>Orders[[#This Row],[Actual_Ship_Date]]-Orders[[#This Row],[Expected_Ship_Date]]</f>
        <v>3</v>
      </c>
    </row>
    <row r="285" spans="1:15" x14ac:dyDescent="0.25">
      <c r="A285" t="s">
        <v>330</v>
      </c>
      <c r="B285" t="s">
        <v>38</v>
      </c>
      <c r="C285" t="s">
        <v>30</v>
      </c>
      <c r="D285" t="s">
        <v>22</v>
      </c>
      <c r="E285" t="s">
        <v>63</v>
      </c>
      <c r="F285" s="1">
        <v>45768</v>
      </c>
      <c r="G285" s="1">
        <v>45773</v>
      </c>
      <c r="H285" s="1">
        <v>45773</v>
      </c>
      <c r="I285" s="1">
        <v>45775</v>
      </c>
      <c r="J285" t="s">
        <v>36</v>
      </c>
      <c r="K285">
        <v>199</v>
      </c>
      <c r="L285">
        <v>719.37</v>
      </c>
      <c r="M285">
        <v>143154.63</v>
      </c>
      <c r="N285">
        <v>5</v>
      </c>
      <c r="O285">
        <f>Orders[[#This Row],[Actual_Ship_Date]]-Orders[[#This Row],[Expected_Ship_Date]]</f>
        <v>0</v>
      </c>
    </row>
    <row r="286" spans="1:15" x14ac:dyDescent="0.25">
      <c r="A286" t="s">
        <v>331</v>
      </c>
      <c r="B286" t="s">
        <v>42</v>
      </c>
      <c r="C286" t="s">
        <v>21</v>
      </c>
      <c r="D286" t="s">
        <v>17</v>
      </c>
      <c r="E286" t="s">
        <v>40</v>
      </c>
      <c r="F286" s="1">
        <v>45738</v>
      </c>
      <c r="G286" s="1">
        <v>45745</v>
      </c>
      <c r="H286" s="1">
        <v>45748</v>
      </c>
      <c r="I286" s="1">
        <v>45752</v>
      </c>
      <c r="J286" t="s">
        <v>27</v>
      </c>
      <c r="K286">
        <v>24</v>
      </c>
      <c r="L286">
        <v>544.08000000000004</v>
      </c>
      <c r="M286">
        <v>13057.92</v>
      </c>
      <c r="N286">
        <v>10</v>
      </c>
      <c r="O286">
        <f>Orders[[#This Row],[Actual_Ship_Date]]-Orders[[#This Row],[Expected_Ship_Date]]</f>
        <v>3</v>
      </c>
    </row>
    <row r="287" spans="1:15" x14ac:dyDescent="0.25">
      <c r="A287" t="s">
        <v>332</v>
      </c>
      <c r="B287" t="s">
        <v>42</v>
      </c>
      <c r="C287" t="s">
        <v>30</v>
      </c>
      <c r="D287" t="s">
        <v>59</v>
      </c>
      <c r="E287" t="s">
        <v>31</v>
      </c>
      <c r="F287" s="1">
        <v>45693</v>
      </c>
      <c r="G287" s="1">
        <v>45707</v>
      </c>
      <c r="H287" s="1">
        <v>45707</v>
      </c>
      <c r="I287" s="1">
        <v>45711</v>
      </c>
      <c r="J287" t="s">
        <v>36</v>
      </c>
      <c r="K287">
        <v>5</v>
      </c>
      <c r="L287">
        <v>740.54</v>
      </c>
      <c r="M287">
        <v>3702.7</v>
      </c>
      <c r="N287">
        <v>14</v>
      </c>
      <c r="O287">
        <f>Orders[[#This Row],[Actual_Ship_Date]]-Orders[[#This Row],[Expected_Ship_Date]]</f>
        <v>0</v>
      </c>
    </row>
    <row r="288" spans="1:15" x14ac:dyDescent="0.25">
      <c r="A288" t="s">
        <v>333</v>
      </c>
      <c r="B288" t="s">
        <v>24</v>
      </c>
      <c r="C288" t="s">
        <v>25</v>
      </c>
      <c r="D288" t="s">
        <v>59</v>
      </c>
      <c r="E288" t="s">
        <v>63</v>
      </c>
      <c r="F288" s="1">
        <v>45759</v>
      </c>
      <c r="G288" s="1">
        <v>45770</v>
      </c>
      <c r="H288" s="1">
        <v>45771</v>
      </c>
      <c r="I288" s="1">
        <v>45773</v>
      </c>
      <c r="J288" t="s">
        <v>27</v>
      </c>
      <c r="K288">
        <v>59</v>
      </c>
      <c r="L288">
        <v>428.09</v>
      </c>
      <c r="M288">
        <v>25257.31</v>
      </c>
      <c r="N288">
        <v>12</v>
      </c>
      <c r="O288">
        <f>Orders[[#This Row],[Actual_Ship_Date]]-Orders[[#This Row],[Expected_Ship_Date]]</f>
        <v>1</v>
      </c>
    </row>
    <row r="289" spans="1:15" x14ac:dyDescent="0.25">
      <c r="A289" t="s">
        <v>334</v>
      </c>
      <c r="B289" t="s">
        <v>29</v>
      </c>
      <c r="C289" t="s">
        <v>16</v>
      </c>
      <c r="D289" t="s">
        <v>39</v>
      </c>
      <c r="E289" t="s">
        <v>31</v>
      </c>
      <c r="F289" s="1">
        <v>45731</v>
      </c>
      <c r="G289" s="1">
        <v>45736</v>
      </c>
      <c r="H289" s="1">
        <v>45738</v>
      </c>
      <c r="I289" s="1">
        <v>45742</v>
      </c>
      <c r="J289" t="s">
        <v>27</v>
      </c>
      <c r="K289">
        <v>179</v>
      </c>
      <c r="L289">
        <v>651.48</v>
      </c>
      <c r="M289">
        <v>116614.92</v>
      </c>
      <c r="N289">
        <v>7</v>
      </c>
      <c r="O289">
        <f>Orders[[#This Row],[Actual_Ship_Date]]-Orders[[#This Row],[Expected_Ship_Date]]</f>
        <v>2</v>
      </c>
    </row>
    <row r="290" spans="1:15" x14ac:dyDescent="0.25">
      <c r="A290" t="s">
        <v>335</v>
      </c>
      <c r="B290" t="s">
        <v>78</v>
      </c>
      <c r="C290" t="s">
        <v>25</v>
      </c>
      <c r="D290" t="s">
        <v>22</v>
      </c>
      <c r="E290" t="s">
        <v>57</v>
      </c>
      <c r="F290" s="1">
        <v>45673</v>
      </c>
      <c r="G290" s="1">
        <v>45678</v>
      </c>
      <c r="H290" s="1">
        <v>45679</v>
      </c>
      <c r="I290" s="1">
        <v>45683</v>
      </c>
      <c r="J290" t="s">
        <v>32</v>
      </c>
      <c r="K290">
        <v>114</v>
      </c>
      <c r="L290">
        <v>183.94</v>
      </c>
      <c r="M290">
        <v>20969.16</v>
      </c>
      <c r="N290">
        <v>6</v>
      </c>
      <c r="O290">
        <f>Orders[[#This Row],[Actual_Ship_Date]]-Orders[[#This Row],[Expected_Ship_Date]]</f>
        <v>1</v>
      </c>
    </row>
    <row r="291" spans="1:15" x14ac:dyDescent="0.25">
      <c r="A291" t="s">
        <v>336</v>
      </c>
      <c r="B291" t="s">
        <v>38</v>
      </c>
      <c r="C291" t="s">
        <v>25</v>
      </c>
      <c r="D291" t="s">
        <v>22</v>
      </c>
      <c r="E291" t="s">
        <v>18</v>
      </c>
      <c r="F291" s="1">
        <v>45669</v>
      </c>
      <c r="G291" s="1">
        <v>45682</v>
      </c>
      <c r="H291" s="1">
        <v>45682</v>
      </c>
      <c r="I291" s="1">
        <v>45685</v>
      </c>
      <c r="J291" t="s">
        <v>19</v>
      </c>
      <c r="K291">
        <v>171</v>
      </c>
      <c r="L291">
        <v>153.21</v>
      </c>
      <c r="M291">
        <v>26198.91</v>
      </c>
      <c r="N291">
        <v>13</v>
      </c>
      <c r="O291">
        <f>Orders[[#This Row],[Actual_Ship_Date]]-Orders[[#This Row],[Expected_Ship_Date]]</f>
        <v>0</v>
      </c>
    </row>
    <row r="292" spans="1:15" x14ac:dyDescent="0.25">
      <c r="A292" t="s">
        <v>337</v>
      </c>
      <c r="B292" t="s">
        <v>48</v>
      </c>
      <c r="C292" t="s">
        <v>34</v>
      </c>
      <c r="D292" t="s">
        <v>17</v>
      </c>
      <c r="E292" t="s">
        <v>40</v>
      </c>
      <c r="F292" s="1">
        <v>45741</v>
      </c>
      <c r="G292" s="1">
        <v>45745</v>
      </c>
      <c r="H292" s="1">
        <v>45748</v>
      </c>
      <c r="I292" s="1">
        <v>45749</v>
      </c>
      <c r="J292" t="s">
        <v>32</v>
      </c>
      <c r="K292">
        <v>127</v>
      </c>
      <c r="L292">
        <v>80.08</v>
      </c>
      <c r="M292">
        <v>10170.16</v>
      </c>
      <c r="N292">
        <v>7</v>
      </c>
      <c r="O292">
        <f>Orders[[#This Row],[Actual_Ship_Date]]-Orders[[#This Row],[Expected_Ship_Date]]</f>
        <v>3</v>
      </c>
    </row>
    <row r="293" spans="1:15" x14ac:dyDescent="0.25">
      <c r="A293" t="s">
        <v>338</v>
      </c>
      <c r="B293" t="s">
        <v>53</v>
      </c>
      <c r="C293" t="s">
        <v>16</v>
      </c>
      <c r="D293" t="s">
        <v>22</v>
      </c>
      <c r="E293" t="s">
        <v>18</v>
      </c>
      <c r="F293" s="1">
        <v>45714</v>
      </c>
      <c r="G293" s="1">
        <v>45717</v>
      </c>
      <c r="H293" s="1">
        <v>45717</v>
      </c>
      <c r="I293" s="1">
        <v>45720</v>
      </c>
      <c r="J293" t="s">
        <v>19</v>
      </c>
      <c r="K293">
        <v>113</v>
      </c>
      <c r="L293">
        <v>594.52</v>
      </c>
      <c r="M293">
        <v>67180.759999999995</v>
      </c>
      <c r="N293">
        <v>3</v>
      </c>
      <c r="O293">
        <f>Orders[[#This Row],[Actual_Ship_Date]]-Orders[[#This Row],[Expected_Ship_Date]]</f>
        <v>0</v>
      </c>
    </row>
    <row r="294" spans="1:15" x14ac:dyDescent="0.25">
      <c r="A294" t="s">
        <v>339</v>
      </c>
      <c r="B294" t="s">
        <v>78</v>
      </c>
      <c r="C294" t="s">
        <v>21</v>
      </c>
      <c r="D294" t="s">
        <v>22</v>
      </c>
      <c r="E294" t="s">
        <v>40</v>
      </c>
      <c r="F294" s="1">
        <v>45669</v>
      </c>
      <c r="G294" s="1">
        <v>45683</v>
      </c>
      <c r="H294" s="1">
        <v>45688</v>
      </c>
      <c r="I294" s="1">
        <v>45689</v>
      </c>
      <c r="J294" t="s">
        <v>32</v>
      </c>
      <c r="K294">
        <v>99</v>
      </c>
      <c r="L294">
        <v>750.63</v>
      </c>
      <c r="M294">
        <v>74312.37</v>
      </c>
      <c r="N294">
        <v>19</v>
      </c>
      <c r="O294">
        <f>Orders[[#This Row],[Actual_Ship_Date]]-Orders[[#This Row],[Expected_Ship_Date]]</f>
        <v>5</v>
      </c>
    </row>
    <row r="295" spans="1:15" x14ac:dyDescent="0.25">
      <c r="A295" t="s">
        <v>340</v>
      </c>
      <c r="B295" t="s">
        <v>45</v>
      </c>
      <c r="C295" t="s">
        <v>43</v>
      </c>
      <c r="D295" t="s">
        <v>39</v>
      </c>
      <c r="E295" t="s">
        <v>63</v>
      </c>
      <c r="F295" s="1">
        <v>45744</v>
      </c>
      <c r="G295" s="1">
        <v>45749</v>
      </c>
      <c r="H295" s="1">
        <v>45749</v>
      </c>
      <c r="I295" s="1">
        <v>45754</v>
      </c>
      <c r="J295" t="s">
        <v>19</v>
      </c>
      <c r="K295">
        <v>47</v>
      </c>
      <c r="L295">
        <v>382.48</v>
      </c>
      <c r="M295">
        <v>17976.560000000001</v>
      </c>
      <c r="N295">
        <v>5</v>
      </c>
      <c r="O295">
        <f>Orders[[#This Row],[Actual_Ship_Date]]-Orders[[#This Row],[Expected_Ship_Date]]</f>
        <v>0</v>
      </c>
    </row>
    <row r="296" spans="1:15" x14ac:dyDescent="0.25">
      <c r="A296" t="s">
        <v>341</v>
      </c>
      <c r="B296" t="s">
        <v>42</v>
      </c>
      <c r="C296" t="s">
        <v>21</v>
      </c>
      <c r="D296" t="s">
        <v>59</v>
      </c>
      <c r="E296" t="s">
        <v>18</v>
      </c>
      <c r="F296" s="1">
        <v>45745</v>
      </c>
      <c r="G296" s="1">
        <v>45755</v>
      </c>
      <c r="H296" s="1">
        <v>45760</v>
      </c>
      <c r="I296" s="1">
        <v>45762</v>
      </c>
      <c r="J296" t="s">
        <v>32</v>
      </c>
      <c r="K296">
        <v>30</v>
      </c>
      <c r="L296">
        <v>131.91</v>
      </c>
      <c r="M296">
        <v>3957.3</v>
      </c>
      <c r="N296">
        <v>15</v>
      </c>
      <c r="O296">
        <f>Orders[[#This Row],[Actual_Ship_Date]]-Orders[[#This Row],[Expected_Ship_Date]]</f>
        <v>5</v>
      </c>
    </row>
    <row r="297" spans="1:15" x14ac:dyDescent="0.25">
      <c r="A297" t="s">
        <v>342</v>
      </c>
      <c r="B297" t="s">
        <v>48</v>
      </c>
      <c r="C297" t="s">
        <v>25</v>
      </c>
      <c r="D297" t="s">
        <v>35</v>
      </c>
      <c r="E297" t="s">
        <v>40</v>
      </c>
      <c r="F297" s="1">
        <v>45698</v>
      </c>
      <c r="G297" s="1">
        <v>45713</v>
      </c>
      <c r="H297" s="1">
        <v>45713</v>
      </c>
      <c r="I297" s="1">
        <v>45715</v>
      </c>
      <c r="J297" t="s">
        <v>36</v>
      </c>
      <c r="K297">
        <v>68</v>
      </c>
      <c r="L297">
        <v>477.09</v>
      </c>
      <c r="M297">
        <v>32442.12</v>
      </c>
      <c r="N297">
        <v>15</v>
      </c>
      <c r="O297">
        <f>Orders[[#This Row],[Actual_Ship_Date]]-Orders[[#This Row],[Expected_Ship_Date]]</f>
        <v>0</v>
      </c>
    </row>
    <row r="298" spans="1:15" x14ac:dyDescent="0.25">
      <c r="A298" t="s">
        <v>343</v>
      </c>
      <c r="B298" t="s">
        <v>45</v>
      </c>
      <c r="C298" t="s">
        <v>30</v>
      </c>
      <c r="D298" t="s">
        <v>39</v>
      </c>
      <c r="E298" t="s">
        <v>31</v>
      </c>
      <c r="F298" s="1">
        <v>45770</v>
      </c>
      <c r="G298" s="1">
        <v>45777</v>
      </c>
      <c r="H298" s="1">
        <v>45777</v>
      </c>
      <c r="I298" s="1">
        <v>45782</v>
      </c>
      <c r="J298" t="s">
        <v>19</v>
      </c>
      <c r="K298">
        <v>80</v>
      </c>
      <c r="L298">
        <v>554.54999999999995</v>
      </c>
      <c r="M298">
        <v>44364</v>
      </c>
      <c r="N298">
        <v>7</v>
      </c>
      <c r="O298">
        <f>Orders[[#This Row],[Actual_Ship_Date]]-Orders[[#This Row],[Expected_Ship_Date]]</f>
        <v>0</v>
      </c>
    </row>
    <row r="299" spans="1:15" x14ac:dyDescent="0.25">
      <c r="A299" t="s">
        <v>344</v>
      </c>
      <c r="B299" t="s">
        <v>24</v>
      </c>
      <c r="C299" t="s">
        <v>43</v>
      </c>
      <c r="D299" t="s">
        <v>39</v>
      </c>
      <c r="E299" t="s">
        <v>63</v>
      </c>
      <c r="F299" s="1">
        <v>45688</v>
      </c>
      <c r="G299" s="1">
        <v>45698</v>
      </c>
      <c r="H299" s="1">
        <v>45701</v>
      </c>
      <c r="I299" s="1">
        <v>45706</v>
      </c>
      <c r="J299" t="s">
        <v>32</v>
      </c>
      <c r="K299">
        <v>8</v>
      </c>
      <c r="L299">
        <v>839.05</v>
      </c>
      <c r="M299">
        <v>6712.4</v>
      </c>
      <c r="N299">
        <v>13</v>
      </c>
      <c r="O299">
        <f>Orders[[#This Row],[Actual_Ship_Date]]-Orders[[#This Row],[Expected_Ship_Date]]</f>
        <v>3</v>
      </c>
    </row>
    <row r="300" spans="1:15" x14ac:dyDescent="0.25">
      <c r="A300" t="s">
        <v>345</v>
      </c>
      <c r="B300" t="s">
        <v>42</v>
      </c>
      <c r="C300" t="s">
        <v>51</v>
      </c>
      <c r="D300" t="s">
        <v>59</v>
      </c>
      <c r="E300" t="s">
        <v>26</v>
      </c>
      <c r="F300" s="1">
        <v>45711</v>
      </c>
      <c r="G300" s="1">
        <v>45719</v>
      </c>
      <c r="H300" s="1">
        <v>45721</v>
      </c>
      <c r="I300" s="1">
        <v>45723</v>
      </c>
      <c r="J300" t="s">
        <v>27</v>
      </c>
      <c r="K300">
        <v>23</v>
      </c>
      <c r="L300">
        <v>28.94</v>
      </c>
      <c r="M300">
        <v>665.62</v>
      </c>
      <c r="N300">
        <v>10</v>
      </c>
      <c r="O300">
        <f>Orders[[#This Row],[Actual_Ship_Date]]-Orders[[#This Row],[Expected_Ship_Date]]</f>
        <v>2</v>
      </c>
    </row>
    <row r="301" spans="1:15" x14ac:dyDescent="0.25">
      <c r="A301" t="s">
        <v>346</v>
      </c>
      <c r="B301" t="s">
        <v>38</v>
      </c>
      <c r="C301" t="s">
        <v>21</v>
      </c>
      <c r="D301" t="s">
        <v>39</v>
      </c>
      <c r="E301" t="s">
        <v>31</v>
      </c>
      <c r="F301" s="1">
        <v>45663</v>
      </c>
      <c r="G301" s="1">
        <v>45666</v>
      </c>
      <c r="H301" s="1">
        <v>45671</v>
      </c>
      <c r="I301" s="1">
        <v>45675</v>
      </c>
      <c r="J301" t="s">
        <v>27</v>
      </c>
      <c r="K301">
        <v>165</v>
      </c>
      <c r="L301">
        <v>610.04999999999995</v>
      </c>
      <c r="M301">
        <v>100658.25</v>
      </c>
      <c r="N301">
        <v>8</v>
      </c>
      <c r="O301">
        <f>Orders[[#This Row],[Actual_Ship_Date]]-Orders[[#This Row],[Expected_Ship_Date]]</f>
        <v>5</v>
      </c>
    </row>
    <row r="302" spans="1:15" x14ac:dyDescent="0.25">
      <c r="A302" t="s">
        <v>347</v>
      </c>
      <c r="B302" t="s">
        <v>15</v>
      </c>
      <c r="C302" t="s">
        <v>34</v>
      </c>
      <c r="D302" t="s">
        <v>22</v>
      </c>
      <c r="E302" t="s">
        <v>63</v>
      </c>
      <c r="F302" s="1">
        <v>45739</v>
      </c>
      <c r="G302" s="1">
        <v>45750</v>
      </c>
      <c r="H302" s="1">
        <v>45752</v>
      </c>
      <c r="I302" s="1">
        <v>45757</v>
      </c>
      <c r="J302" t="s">
        <v>32</v>
      </c>
      <c r="K302">
        <v>26</v>
      </c>
      <c r="L302">
        <v>273.77</v>
      </c>
      <c r="M302">
        <v>7118.02</v>
      </c>
      <c r="N302">
        <v>13</v>
      </c>
      <c r="O302">
        <f>Orders[[#This Row],[Actual_Ship_Date]]-Orders[[#This Row],[Expected_Ship_Date]]</f>
        <v>2</v>
      </c>
    </row>
    <row r="303" spans="1:15" x14ac:dyDescent="0.25">
      <c r="A303" t="s">
        <v>348</v>
      </c>
      <c r="B303" t="s">
        <v>45</v>
      </c>
      <c r="C303" t="s">
        <v>51</v>
      </c>
      <c r="D303" t="s">
        <v>22</v>
      </c>
      <c r="E303" t="s">
        <v>31</v>
      </c>
      <c r="F303" s="1">
        <v>45699</v>
      </c>
      <c r="G303" s="1">
        <v>45708</v>
      </c>
      <c r="H303" s="1">
        <v>45710</v>
      </c>
      <c r="I303" s="1">
        <v>45711</v>
      </c>
      <c r="J303" t="s">
        <v>27</v>
      </c>
      <c r="K303">
        <v>116</v>
      </c>
      <c r="L303">
        <v>624.52</v>
      </c>
      <c r="M303">
        <v>72444.320000000007</v>
      </c>
      <c r="N303">
        <v>11</v>
      </c>
      <c r="O303">
        <f>Orders[[#This Row],[Actual_Ship_Date]]-Orders[[#This Row],[Expected_Ship_Date]]</f>
        <v>2</v>
      </c>
    </row>
    <row r="304" spans="1:15" x14ac:dyDescent="0.25">
      <c r="A304" t="s">
        <v>349</v>
      </c>
      <c r="B304" t="s">
        <v>78</v>
      </c>
      <c r="C304" t="s">
        <v>16</v>
      </c>
      <c r="D304" t="s">
        <v>35</v>
      </c>
      <c r="E304" t="s">
        <v>40</v>
      </c>
      <c r="F304" s="1">
        <v>45776</v>
      </c>
      <c r="G304" s="1">
        <v>45785</v>
      </c>
      <c r="H304" s="1">
        <v>45785</v>
      </c>
      <c r="I304" s="1">
        <v>45789</v>
      </c>
      <c r="J304" t="s">
        <v>19</v>
      </c>
      <c r="K304">
        <v>194</v>
      </c>
      <c r="L304">
        <v>564.47</v>
      </c>
      <c r="M304">
        <v>109507.18</v>
      </c>
      <c r="N304">
        <v>9</v>
      </c>
      <c r="O304">
        <f>Orders[[#This Row],[Actual_Ship_Date]]-Orders[[#This Row],[Expected_Ship_Date]]</f>
        <v>0</v>
      </c>
    </row>
    <row r="305" spans="1:15" x14ac:dyDescent="0.25">
      <c r="A305" t="s">
        <v>350</v>
      </c>
      <c r="B305" t="s">
        <v>56</v>
      </c>
      <c r="C305" t="s">
        <v>43</v>
      </c>
      <c r="D305" t="s">
        <v>59</v>
      </c>
      <c r="E305" t="s">
        <v>26</v>
      </c>
      <c r="F305" s="1">
        <v>45675</v>
      </c>
      <c r="G305" s="1">
        <v>45689</v>
      </c>
      <c r="H305" s="1">
        <v>45689</v>
      </c>
      <c r="I305" s="1">
        <v>45691</v>
      </c>
      <c r="J305" t="s">
        <v>36</v>
      </c>
      <c r="K305">
        <v>138</v>
      </c>
      <c r="L305">
        <v>446.88</v>
      </c>
      <c r="M305">
        <v>61669.440000000002</v>
      </c>
      <c r="N305">
        <v>14</v>
      </c>
      <c r="O305">
        <f>Orders[[#This Row],[Actual_Ship_Date]]-Orders[[#This Row],[Expected_Ship_Date]]</f>
        <v>0</v>
      </c>
    </row>
    <row r="306" spans="1:15" x14ac:dyDescent="0.25">
      <c r="A306" t="s">
        <v>351</v>
      </c>
      <c r="B306" t="s">
        <v>29</v>
      </c>
      <c r="C306" t="s">
        <v>46</v>
      </c>
      <c r="D306" t="s">
        <v>39</v>
      </c>
      <c r="E306" t="s">
        <v>57</v>
      </c>
      <c r="F306" s="1">
        <v>45753</v>
      </c>
      <c r="G306" s="1">
        <v>45768</v>
      </c>
      <c r="H306" s="1">
        <v>45773</v>
      </c>
      <c r="I306" s="1">
        <v>45776</v>
      </c>
      <c r="J306" t="s">
        <v>27</v>
      </c>
      <c r="K306">
        <v>35</v>
      </c>
      <c r="L306">
        <v>659.14</v>
      </c>
      <c r="M306">
        <v>23069.9</v>
      </c>
      <c r="N306">
        <v>20</v>
      </c>
      <c r="O306">
        <f>Orders[[#This Row],[Actual_Ship_Date]]-Orders[[#This Row],[Expected_Ship_Date]]</f>
        <v>5</v>
      </c>
    </row>
    <row r="307" spans="1:15" x14ac:dyDescent="0.25">
      <c r="A307" t="s">
        <v>352</v>
      </c>
      <c r="B307" t="s">
        <v>53</v>
      </c>
      <c r="C307" t="s">
        <v>43</v>
      </c>
      <c r="D307" t="s">
        <v>59</v>
      </c>
      <c r="E307" t="s">
        <v>26</v>
      </c>
      <c r="F307" s="1">
        <v>45725</v>
      </c>
      <c r="G307" s="1">
        <v>45729</v>
      </c>
      <c r="H307" s="1">
        <v>45729</v>
      </c>
      <c r="I307" s="1">
        <v>45734</v>
      </c>
      <c r="J307" t="s">
        <v>19</v>
      </c>
      <c r="K307">
        <v>135</v>
      </c>
      <c r="L307">
        <v>315.7</v>
      </c>
      <c r="M307">
        <v>42619.5</v>
      </c>
      <c r="N307">
        <v>4</v>
      </c>
      <c r="O307">
        <f>Orders[[#This Row],[Actual_Ship_Date]]-Orders[[#This Row],[Expected_Ship_Date]]</f>
        <v>0</v>
      </c>
    </row>
    <row r="308" spans="1:15" x14ac:dyDescent="0.25">
      <c r="A308" t="s">
        <v>353</v>
      </c>
      <c r="B308" t="s">
        <v>29</v>
      </c>
      <c r="C308" t="s">
        <v>34</v>
      </c>
      <c r="D308" t="s">
        <v>35</v>
      </c>
      <c r="E308" t="s">
        <v>18</v>
      </c>
      <c r="F308" s="1">
        <v>45690</v>
      </c>
      <c r="G308" s="1">
        <v>45705</v>
      </c>
      <c r="H308" s="1">
        <v>45705</v>
      </c>
      <c r="I308" s="1">
        <v>45710</v>
      </c>
      <c r="J308" t="s">
        <v>19</v>
      </c>
      <c r="K308">
        <v>135</v>
      </c>
      <c r="L308">
        <v>17.14</v>
      </c>
      <c r="M308">
        <v>2313.9</v>
      </c>
      <c r="N308">
        <v>15</v>
      </c>
      <c r="O308">
        <f>Orders[[#This Row],[Actual_Ship_Date]]-Orders[[#This Row],[Expected_Ship_Date]]</f>
        <v>0</v>
      </c>
    </row>
    <row r="309" spans="1:15" x14ac:dyDescent="0.25">
      <c r="A309" t="s">
        <v>354</v>
      </c>
      <c r="B309" t="s">
        <v>38</v>
      </c>
      <c r="C309" t="s">
        <v>34</v>
      </c>
      <c r="D309" t="s">
        <v>59</v>
      </c>
      <c r="E309" t="s">
        <v>26</v>
      </c>
      <c r="F309" s="1">
        <v>45704</v>
      </c>
      <c r="G309" s="1">
        <v>45713</v>
      </c>
      <c r="H309" s="1">
        <v>45713</v>
      </c>
      <c r="I309" s="1">
        <v>45715</v>
      </c>
      <c r="J309" t="s">
        <v>19</v>
      </c>
      <c r="K309">
        <v>187</v>
      </c>
      <c r="L309">
        <v>633.46</v>
      </c>
      <c r="M309">
        <v>118457.02</v>
      </c>
      <c r="N309">
        <v>9</v>
      </c>
      <c r="O309">
        <f>Orders[[#This Row],[Actual_Ship_Date]]-Orders[[#This Row],[Expected_Ship_Date]]</f>
        <v>0</v>
      </c>
    </row>
    <row r="310" spans="1:15" x14ac:dyDescent="0.25">
      <c r="A310" t="s">
        <v>355</v>
      </c>
      <c r="B310" t="s">
        <v>29</v>
      </c>
      <c r="C310" t="s">
        <v>43</v>
      </c>
      <c r="D310" t="s">
        <v>22</v>
      </c>
      <c r="E310" t="s">
        <v>63</v>
      </c>
      <c r="F310" s="1">
        <v>45711</v>
      </c>
      <c r="G310" s="1">
        <v>45725</v>
      </c>
      <c r="H310" s="1">
        <v>45725</v>
      </c>
      <c r="I310" s="1">
        <v>45728</v>
      </c>
      <c r="J310" t="s">
        <v>19</v>
      </c>
      <c r="K310">
        <v>35</v>
      </c>
      <c r="L310">
        <v>434.2</v>
      </c>
      <c r="M310">
        <v>15197</v>
      </c>
      <c r="N310">
        <v>14</v>
      </c>
      <c r="O310">
        <f>Orders[[#This Row],[Actual_Ship_Date]]-Orders[[#This Row],[Expected_Ship_Date]]</f>
        <v>0</v>
      </c>
    </row>
    <row r="311" spans="1:15" x14ac:dyDescent="0.25">
      <c r="A311" t="s">
        <v>356</v>
      </c>
      <c r="B311" t="s">
        <v>15</v>
      </c>
      <c r="C311" t="s">
        <v>30</v>
      </c>
      <c r="D311" t="s">
        <v>35</v>
      </c>
      <c r="E311" t="s">
        <v>57</v>
      </c>
      <c r="F311" s="1">
        <v>45663</v>
      </c>
      <c r="G311" s="1">
        <v>45672</v>
      </c>
      <c r="H311" s="1">
        <v>45672</v>
      </c>
      <c r="I311" s="1">
        <v>45676</v>
      </c>
      <c r="J311" t="s">
        <v>36</v>
      </c>
      <c r="K311">
        <v>84</v>
      </c>
      <c r="L311">
        <v>288.3</v>
      </c>
      <c r="M311">
        <v>24217.200000000001</v>
      </c>
      <c r="N311">
        <v>9</v>
      </c>
      <c r="O311">
        <f>Orders[[#This Row],[Actual_Ship_Date]]-Orders[[#This Row],[Expected_Ship_Date]]</f>
        <v>0</v>
      </c>
    </row>
    <row r="312" spans="1:15" x14ac:dyDescent="0.25">
      <c r="A312" t="s">
        <v>357</v>
      </c>
      <c r="B312" t="s">
        <v>48</v>
      </c>
      <c r="C312" t="s">
        <v>30</v>
      </c>
      <c r="D312" t="s">
        <v>22</v>
      </c>
      <c r="E312" t="s">
        <v>40</v>
      </c>
      <c r="F312" s="1">
        <v>45683</v>
      </c>
      <c r="G312" s="1">
        <v>45690</v>
      </c>
      <c r="H312" s="1">
        <v>45692</v>
      </c>
      <c r="I312" s="1">
        <v>45695</v>
      </c>
      <c r="J312" t="s">
        <v>27</v>
      </c>
      <c r="K312">
        <v>67</v>
      </c>
      <c r="L312">
        <v>402.38</v>
      </c>
      <c r="M312">
        <v>26959.46</v>
      </c>
      <c r="N312">
        <v>9</v>
      </c>
      <c r="O312">
        <f>Orders[[#This Row],[Actual_Ship_Date]]-Orders[[#This Row],[Expected_Ship_Date]]</f>
        <v>2</v>
      </c>
    </row>
    <row r="313" spans="1:15" x14ac:dyDescent="0.25">
      <c r="A313" t="s">
        <v>358</v>
      </c>
      <c r="B313" t="s">
        <v>15</v>
      </c>
      <c r="C313" t="s">
        <v>46</v>
      </c>
      <c r="D313" t="s">
        <v>35</v>
      </c>
      <c r="E313" t="s">
        <v>57</v>
      </c>
      <c r="F313" s="1">
        <v>45773</v>
      </c>
      <c r="G313" s="1">
        <v>45784</v>
      </c>
      <c r="H313" s="1">
        <v>45789</v>
      </c>
      <c r="I313" s="1">
        <v>45791</v>
      </c>
      <c r="J313" t="s">
        <v>32</v>
      </c>
      <c r="K313">
        <v>109</v>
      </c>
      <c r="L313">
        <v>34.97</v>
      </c>
      <c r="M313">
        <v>3811.73</v>
      </c>
      <c r="N313">
        <v>16</v>
      </c>
      <c r="O313">
        <f>Orders[[#This Row],[Actual_Ship_Date]]-Orders[[#This Row],[Expected_Ship_Date]]</f>
        <v>5</v>
      </c>
    </row>
    <row r="314" spans="1:15" x14ac:dyDescent="0.25">
      <c r="A314" t="s">
        <v>359</v>
      </c>
      <c r="B314" t="s">
        <v>45</v>
      </c>
      <c r="C314" t="s">
        <v>34</v>
      </c>
      <c r="D314" t="s">
        <v>39</v>
      </c>
      <c r="E314" t="s">
        <v>18</v>
      </c>
      <c r="F314" s="1">
        <v>45658</v>
      </c>
      <c r="G314" s="1">
        <v>45673</v>
      </c>
      <c r="H314" s="1">
        <v>45676</v>
      </c>
      <c r="I314" s="1">
        <v>45680</v>
      </c>
      <c r="J314" t="s">
        <v>27</v>
      </c>
      <c r="K314">
        <v>191</v>
      </c>
      <c r="L314">
        <v>271.77</v>
      </c>
      <c r="M314">
        <v>51908.07</v>
      </c>
      <c r="N314">
        <v>18</v>
      </c>
      <c r="O314">
        <f>Orders[[#This Row],[Actual_Ship_Date]]-Orders[[#This Row],[Expected_Ship_Date]]</f>
        <v>3</v>
      </c>
    </row>
    <row r="315" spans="1:15" x14ac:dyDescent="0.25">
      <c r="A315" t="s">
        <v>360</v>
      </c>
      <c r="B315" t="s">
        <v>15</v>
      </c>
      <c r="C315" t="s">
        <v>21</v>
      </c>
      <c r="D315" t="s">
        <v>59</v>
      </c>
      <c r="E315" t="s">
        <v>18</v>
      </c>
      <c r="F315" s="1">
        <v>45665</v>
      </c>
      <c r="G315" s="1">
        <v>45670</v>
      </c>
      <c r="H315" s="1">
        <v>45673</v>
      </c>
      <c r="I315" s="1">
        <v>45676</v>
      </c>
      <c r="J315" t="s">
        <v>32</v>
      </c>
      <c r="K315">
        <v>64</v>
      </c>
      <c r="L315">
        <v>764.24</v>
      </c>
      <c r="M315">
        <v>48911.360000000001</v>
      </c>
      <c r="N315">
        <v>8</v>
      </c>
      <c r="O315">
        <f>Orders[[#This Row],[Actual_Ship_Date]]-Orders[[#This Row],[Expected_Ship_Date]]</f>
        <v>3</v>
      </c>
    </row>
    <row r="316" spans="1:15" x14ac:dyDescent="0.25">
      <c r="A316" t="s">
        <v>361</v>
      </c>
      <c r="B316" t="s">
        <v>42</v>
      </c>
      <c r="C316" t="s">
        <v>51</v>
      </c>
      <c r="D316" t="s">
        <v>39</v>
      </c>
      <c r="E316" t="s">
        <v>40</v>
      </c>
      <c r="F316" s="1">
        <v>45753</v>
      </c>
      <c r="G316" s="1">
        <v>45757</v>
      </c>
      <c r="H316" s="1">
        <v>45759</v>
      </c>
      <c r="I316" s="1">
        <v>45760</v>
      </c>
      <c r="J316" t="s">
        <v>27</v>
      </c>
      <c r="K316">
        <v>168</v>
      </c>
      <c r="L316">
        <v>699.67</v>
      </c>
      <c r="M316">
        <v>117544.56</v>
      </c>
      <c r="N316">
        <v>6</v>
      </c>
      <c r="O316">
        <f>Orders[[#This Row],[Actual_Ship_Date]]-Orders[[#This Row],[Expected_Ship_Date]]</f>
        <v>2</v>
      </c>
    </row>
    <row r="317" spans="1:15" x14ac:dyDescent="0.25">
      <c r="A317" t="s">
        <v>362</v>
      </c>
      <c r="B317" t="s">
        <v>24</v>
      </c>
      <c r="C317" t="s">
        <v>46</v>
      </c>
      <c r="D317" t="s">
        <v>39</v>
      </c>
      <c r="E317" t="s">
        <v>57</v>
      </c>
      <c r="F317" s="1">
        <v>45674</v>
      </c>
      <c r="G317" s="1">
        <v>45680</v>
      </c>
      <c r="H317" s="1">
        <v>45680</v>
      </c>
      <c r="I317" s="1">
        <v>45683</v>
      </c>
      <c r="J317" t="s">
        <v>36</v>
      </c>
      <c r="K317">
        <v>105</v>
      </c>
      <c r="L317">
        <v>600.11</v>
      </c>
      <c r="M317">
        <v>63011.55</v>
      </c>
      <c r="N317">
        <v>6</v>
      </c>
      <c r="O317">
        <f>Orders[[#This Row],[Actual_Ship_Date]]-Orders[[#This Row],[Expected_Ship_Date]]</f>
        <v>0</v>
      </c>
    </row>
    <row r="318" spans="1:15" x14ac:dyDescent="0.25">
      <c r="A318" t="s">
        <v>363</v>
      </c>
      <c r="B318" t="s">
        <v>24</v>
      </c>
      <c r="C318" t="s">
        <v>21</v>
      </c>
      <c r="D318" t="s">
        <v>35</v>
      </c>
      <c r="E318" t="s">
        <v>63</v>
      </c>
      <c r="F318" s="1">
        <v>45687</v>
      </c>
      <c r="G318" s="1">
        <v>45691</v>
      </c>
      <c r="H318" s="1">
        <v>45691</v>
      </c>
      <c r="I318" s="1">
        <v>45693</v>
      </c>
      <c r="J318" t="s">
        <v>32</v>
      </c>
      <c r="K318">
        <v>47</v>
      </c>
      <c r="L318">
        <v>390.39</v>
      </c>
      <c r="M318">
        <v>18348.330000000002</v>
      </c>
      <c r="N318">
        <v>4</v>
      </c>
      <c r="O318">
        <f>Orders[[#This Row],[Actual_Ship_Date]]-Orders[[#This Row],[Expected_Ship_Date]]</f>
        <v>0</v>
      </c>
    </row>
    <row r="319" spans="1:15" x14ac:dyDescent="0.25">
      <c r="A319" t="s">
        <v>364</v>
      </c>
      <c r="B319" t="s">
        <v>56</v>
      </c>
      <c r="C319" t="s">
        <v>51</v>
      </c>
      <c r="D319" t="s">
        <v>22</v>
      </c>
      <c r="E319" t="s">
        <v>57</v>
      </c>
      <c r="F319" s="1">
        <v>45703</v>
      </c>
      <c r="G319" s="1">
        <v>45718</v>
      </c>
      <c r="H319" s="1">
        <v>45718</v>
      </c>
      <c r="I319" s="1">
        <v>45722</v>
      </c>
      <c r="J319" t="s">
        <v>36</v>
      </c>
      <c r="K319">
        <v>35</v>
      </c>
      <c r="L319">
        <v>90.5</v>
      </c>
      <c r="M319">
        <v>3167.5</v>
      </c>
      <c r="N319">
        <v>15</v>
      </c>
      <c r="O319">
        <f>Orders[[#This Row],[Actual_Ship_Date]]-Orders[[#This Row],[Expected_Ship_Date]]</f>
        <v>0</v>
      </c>
    </row>
    <row r="320" spans="1:15" x14ac:dyDescent="0.25">
      <c r="A320" t="s">
        <v>365</v>
      </c>
      <c r="B320" t="s">
        <v>56</v>
      </c>
      <c r="C320" t="s">
        <v>25</v>
      </c>
      <c r="D320" t="s">
        <v>22</v>
      </c>
      <c r="E320" t="s">
        <v>31</v>
      </c>
      <c r="F320" s="1">
        <v>45676</v>
      </c>
      <c r="G320" s="1">
        <v>45680</v>
      </c>
      <c r="H320" s="1">
        <v>45683</v>
      </c>
      <c r="I320" s="1">
        <v>45685</v>
      </c>
      <c r="J320" t="s">
        <v>27</v>
      </c>
      <c r="K320">
        <v>106</v>
      </c>
      <c r="L320">
        <v>443.74</v>
      </c>
      <c r="M320">
        <v>47036.44</v>
      </c>
      <c r="N320">
        <v>7</v>
      </c>
      <c r="O320">
        <f>Orders[[#This Row],[Actual_Ship_Date]]-Orders[[#This Row],[Expected_Ship_Date]]</f>
        <v>3</v>
      </c>
    </row>
    <row r="321" spans="1:15" x14ac:dyDescent="0.25">
      <c r="A321" t="s">
        <v>366</v>
      </c>
      <c r="B321" t="s">
        <v>78</v>
      </c>
      <c r="C321" t="s">
        <v>16</v>
      </c>
      <c r="D321" t="s">
        <v>35</v>
      </c>
      <c r="E321" t="s">
        <v>31</v>
      </c>
      <c r="F321" s="1">
        <v>45709</v>
      </c>
      <c r="G321" s="1">
        <v>45719</v>
      </c>
      <c r="H321" s="1">
        <v>45721</v>
      </c>
      <c r="I321" s="1">
        <v>45726</v>
      </c>
      <c r="J321" t="s">
        <v>27</v>
      </c>
      <c r="K321">
        <v>123</v>
      </c>
      <c r="L321">
        <v>100.09</v>
      </c>
      <c r="M321">
        <v>12311.07</v>
      </c>
      <c r="N321">
        <v>12</v>
      </c>
      <c r="O321">
        <f>Orders[[#This Row],[Actual_Ship_Date]]-Orders[[#This Row],[Expected_Ship_Date]]</f>
        <v>2</v>
      </c>
    </row>
    <row r="322" spans="1:15" x14ac:dyDescent="0.25">
      <c r="A322" t="s">
        <v>367</v>
      </c>
      <c r="B322" t="s">
        <v>42</v>
      </c>
      <c r="C322" t="s">
        <v>25</v>
      </c>
      <c r="D322" t="s">
        <v>35</v>
      </c>
      <c r="E322" t="s">
        <v>31</v>
      </c>
      <c r="F322" s="1">
        <v>45764</v>
      </c>
      <c r="G322" s="1">
        <v>45779</v>
      </c>
      <c r="H322" s="1">
        <v>45779</v>
      </c>
      <c r="I322" s="1">
        <v>45781</v>
      </c>
      <c r="J322" t="s">
        <v>19</v>
      </c>
      <c r="K322">
        <v>100</v>
      </c>
      <c r="L322">
        <v>588.04999999999995</v>
      </c>
      <c r="M322">
        <v>58805</v>
      </c>
      <c r="N322">
        <v>15</v>
      </c>
      <c r="O322">
        <f>Orders[[#This Row],[Actual_Ship_Date]]-Orders[[#This Row],[Expected_Ship_Date]]</f>
        <v>0</v>
      </c>
    </row>
    <row r="323" spans="1:15" x14ac:dyDescent="0.25">
      <c r="A323" t="s">
        <v>368</v>
      </c>
      <c r="B323" t="s">
        <v>24</v>
      </c>
      <c r="C323" t="s">
        <v>16</v>
      </c>
      <c r="D323" t="s">
        <v>35</v>
      </c>
      <c r="E323" t="s">
        <v>18</v>
      </c>
      <c r="F323" s="1">
        <v>45666</v>
      </c>
      <c r="G323" s="1">
        <v>45672</v>
      </c>
      <c r="H323" s="1">
        <v>45675</v>
      </c>
      <c r="I323" s="1">
        <v>45679</v>
      </c>
      <c r="J323" t="s">
        <v>27</v>
      </c>
      <c r="K323">
        <v>28</v>
      </c>
      <c r="L323">
        <v>770.74</v>
      </c>
      <c r="M323">
        <v>21580.720000000001</v>
      </c>
      <c r="N323">
        <v>9</v>
      </c>
      <c r="O323">
        <f>Orders[[#This Row],[Actual_Ship_Date]]-Orders[[#This Row],[Expected_Ship_Date]]</f>
        <v>3</v>
      </c>
    </row>
    <row r="324" spans="1:15" x14ac:dyDescent="0.25">
      <c r="A324" t="s">
        <v>369</v>
      </c>
      <c r="B324" t="s">
        <v>38</v>
      </c>
      <c r="C324" t="s">
        <v>21</v>
      </c>
      <c r="D324" t="s">
        <v>22</v>
      </c>
      <c r="E324" t="s">
        <v>57</v>
      </c>
      <c r="F324" s="1">
        <v>45664</v>
      </c>
      <c r="G324" s="1">
        <v>45669</v>
      </c>
      <c r="H324" s="1">
        <v>45671</v>
      </c>
      <c r="I324" s="1">
        <v>45675</v>
      </c>
      <c r="J324" t="s">
        <v>27</v>
      </c>
      <c r="K324">
        <v>106</v>
      </c>
      <c r="L324">
        <v>429.27</v>
      </c>
      <c r="M324">
        <v>45502.62</v>
      </c>
      <c r="N324">
        <v>7</v>
      </c>
      <c r="O324">
        <f>Orders[[#This Row],[Actual_Ship_Date]]-Orders[[#This Row],[Expected_Ship_Date]]</f>
        <v>2</v>
      </c>
    </row>
    <row r="325" spans="1:15" x14ac:dyDescent="0.25">
      <c r="A325" t="s">
        <v>370</v>
      </c>
      <c r="B325" t="s">
        <v>48</v>
      </c>
      <c r="C325" t="s">
        <v>34</v>
      </c>
      <c r="D325" t="s">
        <v>59</v>
      </c>
      <c r="E325" t="s">
        <v>18</v>
      </c>
      <c r="F325" s="1">
        <v>45685</v>
      </c>
      <c r="G325" s="1">
        <v>45690</v>
      </c>
      <c r="H325" s="1">
        <v>45690</v>
      </c>
      <c r="I325" s="1">
        <v>45693</v>
      </c>
      <c r="J325" t="s">
        <v>36</v>
      </c>
      <c r="K325">
        <v>13</v>
      </c>
      <c r="L325">
        <v>527.78</v>
      </c>
      <c r="M325">
        <v>6861.14</v>
      </c>
      <c r="N325">
        <v>5</v>
      </c>
      <c r="O325">
        <f>Orders[[#This Row],[Actual_Ship_Date]]-Orders[[#This Row],[Expected_Ship_Date]]</f>
        <v>0</v>
      </c>
    </row>
    <row r="326" spans="1:15" x14ac:dyDescent="0.25">
      <c r="A326" t="s">
        <v>371</v>
      </c>
      <c r="B326" t="s">
        <v>45</v>
      </c>
      <c r="C326" t="s">
        <v>34</v>
      </c>
      <c r="D326" t="s">
        <v>17</v>
      </c>
      <c r="E326" t="s">
        <v>31</v>
      </c>
      <c r="F326" s="1">
        <v>45710</v>
      </c>
      <c r="G326" s="1">
        <v>45721</v>
      </c>
      <c r="H326" s="1">
        <v>45722</v>
      </c>
      <c r="I326" s="1">
        <v>45723</v>
      </c>
      <c r="J326" t="s">
        <v>32</v>
      </c>
      <c r="K326">
        <v>103</v>
      </c>
      <c r="L326">
        <v>129.59</v>
      </c>
      <c r="M326">
        <v>13347.77</v>
      </c>
      <c r="N326">
        <v>12</v>
      </c>
      <c r="O326">
        <f>Orders[[#This Row],[Actual_Ship_Date]]-Orders[[#This Row],[Expected_Ship_Date]]</f>
        <v>1</v>
      </c>
    </row>
    <row r="327" spans="1:15" x14ac:dyDescent="0.25">
      <c r="A327" t="s">
        <v>372</v>
      </c>
      <c r="B327" t="s">
        <v>48</v>
      </c>
      <c r="C327" t="s">
        <v>46</v>
      </c>
      <c r="D327" t="s">
        <v>39</v>
      </c>
      <c r="E327" t="s">
        <v>57</v>
      </c>
      <c r="F327" s="1">
        <v>45706</v>
      </c>
      <c r="G327" s="1">
        <v>45721</v>
      </c>
      <c r="H327" s="1">
        <v>45724</v>
      </c>
      <c r="I327" s="1">
        <v>45727</v>
      </c>
      <c r="J327" t="s">
        <v>27</v>
      </c>
      <c r="K327">
        <v>129</v>
      </c>
      <c r="L327">
        <v>302.27</v>
      </c>
      <c r="M327">
        <v>38992.83</v>
      </c>
      <c r="N327">
        <v>18</v>
      </c>
      <c r="O327">
        <f>Orders[[#This Row],[Actual_Ship_Date]]-Orders[[#This Row],[Expected_Ship_Date]]</f>
        <v>3</v>
      </c>
    </row>
    <row r="328" spans="1:15" x14ac:dyDescent="0.25">
      <c r="A328" t="s">
        <v>373</v>
      </c>
      <c r="B328" t="s">
        <v>53</v>
      </c>
      <c r="C328" t="s">
        <v>46</v>
      </c>
      <c r="D328" t="s">
        <v>17</v>
      </c>
      <c r="E328" t="s">
        <v>26</v>
      </c>
      <c r="F328" s="1">
        <v>45681</v>
      </c>
      <c r="G328" s="1">
        <v>45684</v>
      </c>
      <c r="H328" s="1">
        <v>45684</v>
      </c>
      <c r="I328" s="1">
        <v>45689</v>
      </c>
      <c r="J328" t="s">
        <v>32</v>
      </c>
      <c r="K328">
        <v>76</v>
      </c>
      <c r="L328">
        <v>63.92</v>
      </c>
      <c r="M328">
        <v>4857.92</v>
      </c>
      <c r="N328">
        <v>3</v>
      </c>
      <c r="O328">
        <f>Orders[[#This Row],[Actual_Ship_Date]]-Orders[[#This Row],[Expected_Ship_Date]]</f>
        <v>0</v>
      </c>
    </row>
    <row r="329" spans="1:15" x14ac:dyDescent="0.25">
      <c r="A329" t="s">
        <v>374</v>
      </c>
      <c r="B329" t="s">
        <v>45</v>
      </c>
      <c r="C329" t="s">
        <v>21</v>
      </c>
      <c r="D329" t="s">
        <v>59</v>
      </c>
      <c r="E329" t="s">
        <v>26</v>
      </c>
      <c r="F329" s="1">
        <v>45678</v>
      </c>
      <c r="G329" s="1">
        <v>45682</v>
      </c>
      <c r="H329" s="1">
        <v>45682</v>
      </c>
      <c r="I329" s="1">
        <v>45684</v>
      </c>
      <c r="J329" t="s">
        <v>36</v>
      </c>
      <c r="K329">
        <v>193</v>
      </c>
      <c r="L329">
        <v>61.68</v>
      </c>
      <c r="M329">
        <v>11904.24</v>
      </c>
      <c r="N329">
        <v>4</v>
      </c>
      <c r="O329">
        <f>Orders[[#This Row],[Actual_Ship_Date]]-Orders[[#This Row],[Expected_Ship_Date]]</f>
        <v>0</v>
      </c>
    </row>
    <row r="330" spans="1:15" x14ac:dyDescent="0.25">
      <c r="A330" t="s">
        <v>375</v>
      </c>
      <c r="B330" t="s">
        <v>48</v>
      </c>
      <c r="C330" t="s">
        <v>51</v>
      </c>
      <c r="D330" t="s">
        <v>59</v>
      </c>
      <c r="E330" t="s">
        <v>63</v>
      </c>
      <c r="F330" s="1">
        <v>45680</v>
      </c>
      <c r="G330" s="1">
        <v>45686</v>
      </c>
      <c r="H330" s="1">
        <v>45688</v>
      </c>
      <c r="I330" s="1">
        <v>45691</v>
      </c>
      <c r="J330" t="s">
        <v>27</v>
      </c>
      <c r="K330">
        <v>183</v>
      </c>
      <c r="L330">
        <v>314.58</v>
      </c>
      <c r="M330">
        <v>57568.14</v>
      </c>
      <c r="N330">
        <v>8</v>
      </c>
      <c r="O330">
        <f>Orders[[#This Row],[Actual_Ship_Date]]-Orders[[#This Row],[Expected_Ship_Date]]</f>
        <v>2</v>
      </c>
    </row>
    <row r="331" spans="1:15" x14ac:dyDescent="0.25">
      <c r="A331" t="s">
        <v>376</v>
      </c>
      <c r="B331" t="s">
        <v>78</v>
      </c>
      <c r="C331" t="s">
        <v>30</v>
      </c>
      <c r="D331" t="s">
        <v>35</v>
      </c>
      <c r="E331" t="s">
        <v>31</v>
      </c>
      <c r="F331" s="1">
        <v>45730</v>
      </c>
      <c r="G331" s="1">
        <v>45735</v>
      </c>
      <c r="H331" s="1">
        <v>45737</v>
      </c>
      <c r="I331" s="1">
        <v>45739</v>
      </c>
      <c r="J331" t="s">
        <v>27</v>
      </c>
      <c r="K331">
        <v>131</v>
      </c>
      <c r="L331">
        <v>467.67</v>
      </c>
      <c r="M331">
        <v>61264.77</v>
      </c>
      <c r="N331">
        <v>7</v>
      </c>
      <c r="O331">
        <f>Orders[[#This Row],[Actual_Ship_Date]]-Orders[[#This Row],[Expected_Ship_Date]]</f>
        <v>2</v>
      </c>
    </row>
    <row r="332" spans="1:15" x14ac:dyDescent="0.25">
      <c r="A332" t="s">
        <v>377</v>
      </c>
      <c r="B332" t="s">
        <v>48</v>
      </c>
      <c r="C332" t="s">
        <v>34</v>
      </c>
      <c r="D332" t="s">
        <v>22</v>
      </c>
      <c r="E332" t="s">
        <v>57</v>
      </c>
      <c r="F332" s="1">
        <v>45665</v>
      </c>
      <c r="G332" s="1">
        <v>45671</v>
      </c>
      <c r="H332" s="1">
        <v>45673</v>
      </c>
      <c r="I332" s="1">
        <v>45675</v>
      </c>
      <c r="J332" t="s">
        <v>32</v>
      </c>
      <c r="K332">
        <v>127</v>
      </c>
      <c r="L332">
        <v>15.57</v>
      </c>
      <c r="M332">
        <v>1977.39</v>
      </c>
      <c r="N332">
        <v>8</v>
      </c>
      <c r="O332">
        <f>Orders[[#This Row],[Actual_Ship_Date]]-Orders[[#This Row],[Expected_Ship_Date]]</f>
        <v>2</v>
      </c>
    </row>
    <row r="333" spans="1:15" x14ac:dyDescent="0.25">
      <c r="A333" t="s">
        <v>378</v>
      </c>
      <c r="B333" t="s">
        <v>78</v>
      </c>
      <c r="C333" t="s">
        <v>16</v>
      </c>
      <c r="D333" t="s">
        <v>17</v>
      </c>
      <c r="E333" t="s">
        <v>57</v>
      </c>
      <c r="F333" s="1">
        <v>45749</v>
      </c>
      <c r="G333" s="1">
        <v>45754</v>
      </c>
      <c r="H333" s="1">
        <v>45759</v>
      </c>
      <c r="I333" s="1">
        <v>45762</v>
      </c>
      <c r="J333" t="s">
        <v>32</v>
      </c>
      <c r="K333">
        <v>42</v>
      </c>
      <c r="L333">
        <v>504.82</v>
      </c>
      <c r="M333">
        <v>21202.44</v>
      </c>
      <c r="N333">
        <v>10</v>
      </c>
      <c r="O333">
        <f>Orders[[#This Row],[Actual_Ship_Date]]-Orders[[#This Row],[Expected_Ship_Date]]</f>
        <v>5</v>
      </c>
    </row>
    <row r="334" spans="1:15" x14ac:dyDescent="0.25">
      <c r="A334" t="s">
        <v>379</v>
      </c>
      <c r="B334" t="s">
        <v>78</v>
      </c>
      <c r="C334" t="s">
        <v>43</v>
      </c>
      <c r="D334" t="s">
        <v>39</v>
      </c>
      <c r="E334" t="s">
        <v>40</v>
      </c>
      <c r="F334" s="1">
        <v>45667</v>
      </c>
      <c r="G334" s="1">
        <v>45675</v>
      </c>
      <c r="H334" s="1">
        <v>45678</v>
      </c>
      <c r="I334" s="1">
        <v>45682</v>
      </c>
      <c r="J334" t="s">
        <v>27</v>
      </c>
      <c r="K334">
        <v>91</v>
      </c>
      <c r="L334">
        <v>266.97000000000003</v>
      </c>
      <c r="M334">
        <v>24294.27</v>
      </c>
      <c r="N334">
        <v>11</v>
      </c>
      <c r="O334">
        <f>Orders[[#This Row],[Actual_Ship_Date]]-Orders[[#This Row],[Expected_Ship_Date]]</f>
        <v>3</v>
      </c>
    </row>
    <row r="335" spans="1:15" x14ac:dyDescent="0.25">
      <c r="A335" t="s">
        <v>380</v>
      </c>
      <c r="B335" t="s">
        <v>38</v>
      </c>
      <c r="C335" t="s">
        <v>25</v>
      </c>
      <c r="D335" t="s">
        <v>59</v>
      </c>
      <c r="E335" t="s">
        <v>26</v>
      </c>
      <c r="F335" s="1">
        <v>45720</v>
      </c>
      <c r="G335" s="1">
        <v>45733</v>
      </c>
      <c r="H335" s="1">
        <v>45733</v>
      </c>
      <c r="I335" s="1">
        <v>45735</v>
      </c>
      <c r="J335" t="s">
        <v>36</v>
      </c>
      <c r="K335">
        <v>155</v>
      </c>
      <c r="L335">
        <v>695.07</v>
      </c>
      <c r="M335">
        <v>107735.85</v>
      </c>
      <c r="N335">
        <v>13</v>
      </c>
      <c r="O335">
        <f>Orders[[#This Row],[Actual_Ship_Date]]-Orders[[#This Row],[Expected_Ship_Date]]</f>
        <v>0</v>
      </c>
    </row>
    <row r="336" spans="1:15" x14ac:dyDescent="0.25">
      <c r="A336" t="s">
        <v>381</v>
      </c>
      <c r="B336" t="s">
        <v>48</v>
      </c>
      <c r="C336" t="s">
        <v>46</v>
      </c>
      <c r="D336" t="s">
        <v>17</v>
      </c>
      <c r="E336" t="s">
        <v>26</v>
      </c>
      <c r="F336" s="1">
        <v>45680</v>
      </c>
      <c r="G336" s="1">
        <v>45694</v>
      </c>
      <c r="H336" s="1">
        <v>45694</v>
      </c>
      <c r="I336" s="1">
        <v>45699</v>
      </c>
      <c r="J336" t="s">
        <v>36</v>
      </c>
      <c r="K336">
        <v>150</v>
      </c>
      <c r="L336">
        <v>42.04</v>
      </c>
      <c r="M336">
        <v>6306</v>
      </c>
      <c r="N336">
        <v>14</v>
      </c>
      <c r="O336">
        <f>Orders[[#This Row],[Actual_Ship_Date]]-Orders[[#This Row],[Expected_Ship_Date]]</f>
        <v>0</v>
      </c>
    </row>
    <row r="337" spans="1:15" x14ac:dyDescent="0.25">
      <c r="A337" t="s">
        <v>382</v>
      </c>
      <c r="B337" t="s">
        <v>24</v>
      </c>
      <c r="C337" t="s">
        <v>43</v>
      </c>
      <c r="D337" t="s">
        <v>35</v>
      </c>
      <c r="E337" t="s">
        <v>40</v>
      </c>
      <c r="F337" s="1">
        <v>45739</v>
      </c>
      <c r="G337" s="1">
        <v>45751</v>
      </c>
      <c r="H337" s="1">
        <v>45751</v>
      </c>
      <c r="I337" s="1">
        <v>45755</v>
      </c>
      <c r="J337" t="s">
        <v>19</v>
      </c>
      <c r="K337">
        <v>24</v>
      </c>
      <c r="L337">
        <v>213.73</v>
      </c>
      <c r="M337">
        <v>5129.5200000000004</v>
      </c>
      <c r="N337">
        <v>12</v>
      </c>
      <c r="O337">
        <f>Orders[[#This Row],[Actual_Ship_Date]]-Orders[[#This Row],[Expected_Ship_Date]]</f>
        <v>0</v>
      </c>
    </row>
    <row r="338" spans="1:15" x14ac:dyDescent="0.25">
      <c r="A338" t="s">
        <v>383</v>
      </c>
      <c r="B338" t="s">
        <v>42</v>
      </c>
      <c r="C338" t="s">
        <v>46</v>
      </c>
      <c r="D338" t="s">
        <v>59</v>
      </c>
      <c r="E338" t="s">
        <v>31</v>
      </c>
      <c r="F338" s="1">
        <v>45743</v>
      </c>
      <c r="G338" s="1">
        <v>45756</v>
      </c>
      <c r="H338" s="1">
        <v>45759</v>
      </c>
      <c r="I338" s="1">
        <v>45762</v>
      </c>
      <c r="J338" t="s">
        <v>27</v>
      </c>
      <c r="K338">
        <v>72</v>
      </c>
      <c r="L338">
        <v>190.09</v>
      </c>
      <c r="M338">
        <v>13686.48</v>
      </c>
      <c r="N338">
        <v>16</v>
      </c>
      <c r="O338">
        <f>Orders[[#This Row],[Actual_Ship_Date]]-Orders[[#This Row],[Expected_Ship_Date]]</f>
        <v>3</v>
      </c>
    </row>
    <row r="339" spans="1:15" x14ac:dyDescent="0.25">
      <c r="A339" t="s">
        <v>384</v>
      </c>
      <c r="B339" t="s">
        <v>53</v>
      </c>
      <c r="C339" t="s">
        <v>21</v>
      </c>
      <c r="D339" t="s">
        <v>59</v>
      </c>
      <c r="E339" t="s">
        <v>63</v>
      </c>
      <c r="F339" s="1">
        <v>45750</v>
      </c>
      <c r="G339" s="1">
        <v>45753</v>
      </c>
      <c r="H339" s="1">
        <v>45753</v>
      </c>
      <c r="I339" s="1">
        <v>45757</v>
      </c>
      <c r="J339" t="s">
        <v>36</v>
      </c>
      <c r="K339">
        <v>47</v>
      </c>
      <c r="L339">
        <v>753.6</v>
      </c>
      <c r="M339">
        <v>35419.199999999997</v>
      </c>
      <c r="N339">
        <v>3</v>
      </c>
      <c r="O339">
        <f>Orders[[#This Row],[Actual_Ship_Date]]-Orders[[#This Row],[Expected_Ship_Date]]</f>
        <v>0</v>
      </c>
    </row>
    <row r="340" spans="1:15" x14ac:dyDescent="0.25">
      <c r="A340" t="s">
        <v>385</v>
      </c>
      <c r="B340" t="s">
        <v>45</v>
      </c>
      <c r="C340" t="s">
        <v>43</v>
      </c>
      <c r="D340" t="s">
        <v>39</v>
      </c>
      <c r="E340" t="s">
        <v>31</v>
      </c>
      <c r="F340" s="1">
        <v>45706</v>
      </c>
      <c r="G340" s="1">
        <v>45710</v>
      </c>
      <c r="H340" s="1">
        <v>45715</v>
      </c>
      <c r="I340" s="1">
        <v>45719</v>
      </c>
      <c r="J340" t="s">
        <v>27</v>
      </c>
      <c r="K340">
        <v>152</v>
      </c>
      <c r="L340">
        <v>558.55999999999995</v>
      </c>
      <c r="M340">
        <v>84901.119999999995</v>
      </c>
      <c r="N340">
        <v>9</v>
      </c>
      <c r="O340">
        <f>Orders[[#This Row],[Actual_Ship_Date]]-Orders[[#This Row],[Expected_Ship_Date]]</f>
        <v>5</v>
      </c>
    </row>
    <row r="341" spans="1:15" x14ac:dyDescent="0.25">
      <c r="A341" t="s">
        <v>386</v>
      </c>
      <c r="B341" t="s">
        <v>78</v>
      </c>
      <c r="C341" t="s">
        <v>21</v>
      </c>
      <c r="D341" t="s">
        <v>22</v>
      </c>
      <c r="E341" t="s">
        <v>40</v>
      </c>
      <c r="F341" s="1">
        <v>45760</v>
      </c>
      <c r="G341" s="1">
        <v>45763</v>
      </c>
      <c r="H341" s="1">
        <v>45763</v>
      </c>
      <c r="I341" s="1">
        <v>45764</v>
      </c>
      <c r="J341" t="s">
        <v>36</v>
      </c>
      <c r="K341">
        <v>31</v>
      </c>
      <c r="L341">
        <v>76.959999999999994</v>
      </c>
      <c r="M341">
        <v>2385.7600000000002</v>
      </c>
      <c r="N341">
        <v>3</v>
      </c>
      <c r="O341">
        <f>Orders[[#This Row],[Actual_Ship_Date]]-Orders[[#This Row],[Expected_Ship_Date]]</f>
        <v>0</v>
      </c>
    </row>
    <row r="342" spans="1:15" x14ac:dyDescent="0.25">
      <c r="A342" t="s">
        <v>387</v>
      </c>
      <c r="B342" t="s">
        <v>78</v>
      </c>
      <c r="C342" t="s">
        <v>21</v>
      </c>
      <c r="D342" t="s">
        <v>22</v>
      </c>
      <c r="E342" t="s">
        <v>31</v>
      </c>
      <c r="F342" s="1">
        <v>45667</v>
      </c>
      <c r="G342" s="1">
        <v>45678</v>
      </c>
      <c r="H342" s="1">
        <v>45678</v>
      </c>
      <c r="I342" s="1">
        <v>45681</v>
      </c>
      <c r="J342" t="s">
        <v>36</v>
      </c>
      <c r="K342">
        <v>115</v>
      </c>
      <c r="L342">
        <v>801.94</v>
      </c>
      <c r="M342">
        <v>92223.1</v>
      </c>
      <c r="N342">
        <v>11</v>
      </c>
      <c r="O342">
        <f>Orders[[#This Row],[Actual_Ship_Date]]-Orders[[#This Row],[Expected_Ship_Date]]</f>
        <v>0</v>
      </c>
    </row>
    <row r="343" spans="1:15" x14ac:dyDescent="0.25">
      <c r="A343" t="s">
        <v>388</v>
      </c>
      <c r="B343" t="s">
        <v>15</v>
      </c>
      <c r="C343" t="s">
        <v>25</v>
      </c>
      <c r="D343" t="s">
        <v>59</v>
      </c>
      <c r="E343" t="s">
        <v>57</v>
      </c>
      <c r="F343" s="1">
        <v>45670</v>
      </c>
      <c r="G343" s="1">
        <v>45678</v>
      </c>
      <c r="H343" s="1">
        <v>45678</v>
      </c>
      <c r="I343" s="1">
        <v>45680</v>
      </c>
      <c r="J343" t="s">
        <v>36</v>
      </c>
      <c r="K343">
        <v>189</v>
      </c>
      <c r="L343">
        <v>787.85</v>
      </c>
      <c r="M343">
        <v>148903.65</v>
      </c>
      <c r="N343">
        <v>8</v>
      </c>
      <c r="O343">
        <f>Orders[[#This Row],[Actual_Ship_Date]]-Orders[[#This Row],[Expected_Ship_Date]]</f>
        <v>0</v>
      </c>
    </row>
    <row r="344" spans="1:15" x14ac:dyDescent="0.25">
      <c r="A344" t="s">
        <v>389</v>
      </c>
      <c r="B344" t="s">
        <v>42</v>
      </c>
      <c r="C344" t="s">
        <v>25</v>
      </c>
      <c r="D344" t="s">
        <v>17</v>
      </c>
      <c r="E344" t="s">
        <v>18</v>
      </c>
      <c r="F344" s="1">
        <v>45688</v>
      </c>
      <c r="G344" s="1">
        <v>45692</v>
      </c>
      <c r="H344" s="1">
        <v>45692</v>
      </c>
      <c r="I344" s="1">
        <v>45696</v>
      </c>
      <c r="J344" t="s">
        <v>32</v>
      </c>
      <c r="K344">
        <v>97</v>
      </c>
      <c r="L344">
        <v>18.190000000000001</v>
      </c>
      <c r="M344">
        <v>1764.43</v>
      </c>
      <c r="N344">
        <v>4</v>
      </c>
      <c r="O344">
        <f>Orders[[#This Row],[Actual_Ship_Date]]-Orders[[#This Row],[Expected_Ship_Date]]</f>
        <v>0</v>
      </c>
    </row>
    <row r="345" spans="1:15" x14ac:dyDescent="0.25">
      <c r="A345" t="s">
        <v>390</v>
      </c>
      <c r="B345" t="s">
        <v>42</v>
      </c>
      <c r="C345" t="s">
        <v>25</v>
      </c>
      <c r="D345" t="s">
        <v>39</v>
      </c>
      <c r="E345" t="s">
        <v>18</v>
      </c>
      <c r="F345" s="1">
        <v>45683</v>
      </c>
      <c r="G345" s="1">
        <v>45687</v>
      </c>
      <c r="H345" s="1">
        <v>45687</v>
      </c>
      <c r="I345" s="1">
        <v>45689</v>
      </c>
      <c r="J345" t="s">
        <v>19</v>
      </c>
      <c r="K345">
        <v>25</v>
      </c>
      <c r="L345">
        <v>410.43</v>
      </c>
      <c r="M345">
        <v>10260.75</v>
      </c>
      <c r="N345">
        <v>4</v>
      </c>
      <c r="O345">
        <f>Orders[[#This Row],[Actual_Ship_Date]]-Orders[[#This Row],[Expected_Ship_Date]]</f>
        <v>0</v>
      </c>
    </row>
    <row r="346" spans="1:15" x14ac:dyDescent="0.25">
      <c r="A346" t="s">
        <v>391</v>
      </c>
      <c r="B346" t="s">
        <v>53</v>
      </c>
      <c r="C346" t="s">
        <v>51</v>
      </c>
      <c r="D346" t="s">
        <v>59</v>
      </c>
      <c r="E346" t="s">
        <v>18</v>
      </c>
      <c r="F346" s="1">
        <v>45720</v>
      </c>
      <c r="G346" s="1">
        <v>45733</v>
      </c>
      <c r="H346" s="1">
        <v>45733</v>
      </c>
      <c r="I346" s="1">
        <v>45734</v>
      </c>
      <c r="J346" t="s">
        <v>32</v>
      </c>
      <c r="K346">
        <v>102</v>
      </c>
      <c r="L346">
        <v>323.45</v>
      </c>
      <c r="M346">
        <v>32991.9</v>
      </c>
      <c r="N346">
        <v>13</v>
      </c>
      <c r="O346">
        <f>Orders[[#This Row],[Actual_Ship_Date]]-Orders[[#This Row],[Expected_Ship_Date]]</f>
        <v>0</v>
      </c>
    </row>
    <row r="347" spans="1:15" x14ac:dyDescent="0.25">
      <c r="A347" t="s">
        <v>392</v>
      </c>
      <c r="B347" t="s">
        <v>42</v>
      </c>
      <c r="C347" t="s">
        <v>46</v>
      </c>
      <c r="D347" t="s">
        <v>17</v>
      </c>
      <c r="E347" t="s">
        <v>18</v>
      </c>
      <c r="F347" s="1">
        <v>45717</v>
      </c>
      <c r="G347" s="1">
        <v>45724</v>
      </c>
      <c r="H347" s="1">
        <v>45724</v>
      </c>
      <c r="I347" s="1">
        <v>45727</v>
      </c>
      <c r="J347" t="s">
        <v>32</v>
      </c>
      <c r="K347">
        <v>183</v>
      </c>
      <c r="L347">
        <v>572.34</v>
      </c>
      <c r="M347">
        <v>104738.22</v>
      </c>
      <c r="N347">
        <v>7</v>
      </c>
      <c r="O347">
        <f>Orders[[#This Row],[Actual_Ship_Date]]-Orders[[#This Row],[Expected_Ship_Date]]</f>
        <v>0</v>
      </c>
    </row>
    <row r="348" spans="1:15" x14ac:dyDescent="0.25">
      <c r="A348" t="s">
        <v>393</v>
      </c>
      <c r="B348" t="s">
        <v>15</v>
      </c>
      <c r="C348" t="s">
        <v>30</v>
      </c>
      <c r="D348" t="s">
        <v>17</v>
      </c>
      <c r="E348" t="s">
        <v>26</v>
      </c>
      <c r="F348" s="1">
        <v>45754</v>
      </c>
      <c r="G348" s="1">
        <v>45766</v>
      </c>
      <c r="H348" s="1">
        <v>45766</v>
      </c>
      <c r="I348" s="1">
        <v>45771</v>
      </c>
      <c r="J348" t="s">
        <v>19</v>
      </c>
      <c r="K348">
        <v>138</v>
      </c>
      <c r="L348">
        <v>364.56</v>
      </c>
      <c r="M348">
        <v>50309.279999999999</v>
      </c>
      <c r="N348">
        <v>12</v>
      </c>
      <c r="O348">
        <f>Orders[[#This Row],[Actual_Ship_Date]]-Orders[[#This Row],[Expected_Ship_Date]]</f>
        <v>0</v>
      </c>
    </row>
    <row r="349" spans="1:15" x14ac:dyDescent="0.25">
      <c r="A349" t="s">
        <v>394</v>
      </c>
      <c r="B349" t="s">
        <v>48</v>
      </c>
      <c r="C349" t="s">
        <v>43</v>
      </c>
      <c r="D349" t="s">
        <v>35</v>
      </c>
      <c r="E349" t="s">
        <v>18</v>
      </c>
      <c r="F349" s="1">
        <v>45718</v>
      </c>
      <c r="G349" s="1">
        <v>45725</v>
      </c>
      <c r="H349" s="1">
        <v>45725</v>
      </c>
      <c r="I349" s="1">
        <v>45729</v>
      </c>
      <c r="J349" t="s">
        <v>19</v>
      </c>
      <c r="K349">
        <v>137</v>
      </c>
      <c r="L349">
        <v>683.38</v>
      </c>
      <c r="M349">
        <v>93623.06</v>
      </c>
      <c r="N349">
        <v>7</v>
      </c>
      <c r="O349">
        <f>Orders[[#This Row],[Actual_Ship_Date]]-Orders[[#This Row],[Expected_Ship_Date]]</f>
        <v>0</v>
      </c>
    </row>
    <row r="350" spans="1:15" x14ac:dyDescent="0.25">
      <c r="A350" t="s">
        <v>395</v>
      </c>
      <c r="B350" t="s">
        <v>38</v>
      </c>
      <c r="C350" t="s">
        <v>34</v>
      </c>
      <c r="D350" t="s">
        <v>22</v>
      </c>
      <c r="E350" t="s">
        <v>63</v>
      </c>
      <c r="F350" s="1">
        <v>45680</v>
      </c>
      <c r="G350" s="1">
        <v>45685</v>
      </c>
      <c r="H350" s="1">
        <v>45685</v>
      </c>
      <c r="I350" s="1">
        <v>45687</v>
      </c>
      <c r="J350" t="s">
        <v>32</v>
      </c>
      <c r="K350">
        <v>25</v>
      </c>
      <c r="L350">
        <v>840.21</v>
      </c>
      <c r="M350">
        <v>21005.25</v>
      </c>
      <c r="N350">
        <v>5</v>
      </c>
      <c r="O350">
        <f>Orders[[#This Row],[Actual_Ship_Date]]-Orders[[#This Row],[Expected_Ship_Date]]</f>
        <v>0</v>
      </c>
    </row>
    <row r="351" spans="1:15" x14ac:dyDescent="0.25">
      <c r="A351" t="s">
        <v>396</v>
      </c>
      <c r="B351" t="s">
        <v>24</v>
      </c>
      <c r="C351" t="s">
        <v>25</v>
      </c>
      <c r="D351" t="s">
        <v>17</v>
      </c>
      <c r="E351" t="s">
        <v>18</v>
      </c>
      <c r="F351" s="1">
        <v>45691</v>
      </c>
      <c r="G351" s="1">
        <v>45699</v>
      </c>
      <c r="H351" s="1">
        <v>45702</v>
      </c>
      <c r="I351" s="1">
        <v>45703</v>
      </c>
      <c r="J351" t="s">
        <v>32</v>
      </c>
      <c r="K351">
        <v>147</v>
      </c>
      <c r="L351">
        <v>346.79</v>
      </c>
      <c r="M351">
        <v>50978.13</v>
      </c>
      <c r="N351">
        <v>11</v>
      </c>
      <c r="O351">
        <f>Orders[[#This Row],[Actual_Ship_Date]]-Orders[[#This Row],[Expected_Ship_Date]]</f>
        <v>3</v>
      </c>
    </row>
    <row r="352" spans="1:15" x14ac:dyDescent="0.25">
      <c r="A352" t="s">
        <v>397</v>
      </c>
      <c r="B352" t="s">
        <v>78</v>
      </c>
      <c r="C352" t="s">
        <v>43</v>
      </c>
      <c r="D352" t="s">
        <v>17</v>
      </c>
      <c r="E352" t="s">
        <v>63</v>
      </c>
      <c r="F352" s="1">
        <v>45775</v>
      </c>
      <c r="G352" s="1">
        <v>45778</v>
      </c>
      <c r="H352" s="1">
        <v>45783</v>
      </c>
      <c r="I352" s="1">
        <v>45788</v>
      </c>
      <c r="J352" t="s">
        <v>27</v>
      </c>
      <c r="K352">
        <v>112</v>
      </c>
      <c r="L352">
        <v>108.95</v>
      </c>
      <c r="M352">
        <v>12202.4</v>
      </c>
      <c r="N352">
        <v>8</v>
      </c>
      <c r="O352">
        <f>Orders[[#This Row],[Actual_Ship_Date]]-Orders[[#This Row],[Expected_Ship_Date]]</f>
        <v>5</v>
      </c>
    </row>
    <row r="353" spans="1:15" x14ac:dyDescent="0.25">
      <c r="A353" t="s">
        <v>398</v>
      </c>
      <c r="B353" t="s">
        <v>38</v>
      </c>
      <c r="C353" t="s">
        <v>25</v>
      </c>
      <c r="D353" t="s">
        <v>39</v>
      </c>
      <c r="E353" t="s">
        <v>40</v>
      </c>
      <c r="F353" s="1">
        <v>45732</v>
      </c>
      <c r="G353" s="1">
        <v>45747</v>
      </c>
      <c r="H353" s="1">
        <v>45747</v>
      </c>
      <c r="I353" s="1">
        <v>45748</v>
      </c>
      <c r="J353" t="s">
        <v>19</v>
      </c>
      <c r="K353">
        <v>142</v>
      </c>
      <c r="L353">
        <v>749.91</v>
      </c>
      <c r="M353">
        <v>106487.22</v>
      </c>
      <c r="N353">
        <v>15</v>
      </c>
      <c r="O353">
        <f>Orders[[#This Row],[Actual_Ship_Date]]-Orders[[#This Row],[Expected_Ship_Date]]</f>
        <v>0</v>
      </c>
    </row>
    <row r="354" spans="1:15" x14ac:dyDescent="0.25">
      <c r="A354" t="s">
        <v>399</v>
      </c>
      <c r="B354" t="s">
        <v>48</v>
      </c>
      <c r="C354" t="s">
        <v>21</v>
      </c>
      <c r="D354" t="s">
        <v>35</v>
      </c>
      <c r="E354" t="s">
        <v>18</v>
      </c>
      <c r="F354" s="1">
        <v>45720</v>
      </c>
      <c r="G354" s="1">
        <v>45732</v>
      </c>
      <c r="H354" s="1">
        <v>45734</v>
      </c>
      <c r="I354" s="1">
        <v>45738</v>
      </c>
      <c r="J354" t="s">
        <v>32</v>
      </c>
      <c r="K354">
        <v>75</v>
      </c>
      <c r="L354">
        <v>351.48</v>
      </c>
      <c r="M354">
        <v>26361</v>
      </c>
      <c r="N354">
        <v>14</v>
      </c>
      <c r="O354">
        <f>Orders[[#This Row],[Actual_Ship_Date]]-Orders[[#This Row],[Expected_Ship_Date]]</f>
        <v>2</v>
      </c>
    </row>
    <row r="355" spans="1:15" x14ac:dyDescent="0.25">
      <c r="A355" t="s">
        <v>400</v>
      </c>
      <c r="B355" t="s">
        <v>24</v>
      </c>
      <c r="C355" t="s">
        <v>51</v>
      </c>
      <c r="D355" t="s">
        <v>59</v>
      </c>
      <c r="E355" t="s">
        <v>57</v>
      </c>
      <c r="F355" s="1">
        <v>45771</v>
      </c>
      <c r="G355" s="1">
        <v>45779</v>
      </c>
      <c r="H355" s="1">
        <v>45782</v>
      </c>
      <c r="I355" s="1">
        <v>45784</v>
      </c>
      <c r="J355" t="s">
        <v>32</v>
      </c>
      <c r="K355">
        <v>126</v>
      </c>
      <c r="L355">
        <v>783.9</v>
      </c>
      <c r="M355">
        <v>98771.4</v>
      </c>
      <c r="N355">
        <v>11</v>
      </c>
      <c r="O355">
        <f>Orders[[#This Row],[Actual_Ship_Date]]-Orders[[#This Row],[Expected_Ship_Date]]</f>
        <v>3</v>
      </c>
    </row>
    <row r="356" spans="1:15" x14ac:dyDescent="0.25">
      <c r="A356" t="s">
        <v>401</v>
      </c>
      <c r="B356" t="s">
        <v>45</v>
      </c>
      <c r="C356" t="s">
        <v>43</v>
      </c>
      <c r="D356" t="s">
        <v>59</v>
      </c>
      <c r="E356" t="s">
        <v>40</v>
      </c>
      <c r="F356" s="1">
        <v>45697</v>
      </c>
      <c r="G356" s="1">
        <v>45704</v>
      </c>
      <c r="H356" s="1">
        <v>45709</v>
      </c>
      <c r="I356" s="1">
        <v>45713</v>
      </c>
      <c r="J356" t="s">
        <v>27</v>
      </c>
      <c r="K356">
        <v>180</v>
      </c>
      <c r="L356">
        <v>97.01</v>
      </c>
      <c r="M356">
        <v>17461.8</v>
      </c>
      <c r="N356">
        <v>12</v>
      </c>
      <c r="O356">
        <f>Orders[[#This Row],[Actual_Ship_Date]]-Orders[[#This Row],[Expected_Ship_Date]]</f>
        <v>5</v>
      </c>
    </row>
    <row r="357" spans="1:15" x14ac:dyDescent="0.25">
      <c r="A357" t="s">
        <v>402</v>
      </c>
      <c r="B357" t="s">
        <v>42</v>
      </c>
      <c r="C357" t="s">
        <v>34</v>
      </c>
      <c r="D357" t="s">
        <v>39</v>
      </c>
      <c r="E357" t="s">
        <v>26</v>
      </c>
      <c r="F357" s="1">
        <v>45714</v>
      </c>
      <c r="G357" s="1">
        <v>45729</v>
      </c>
      <c r="H357" s="1">
        <v>45734</v>
      </c>
      <c r="I357" s="1">
        <v>45737</v>
      </c>
      <c r="J357" t="s">
        <v>27</v>
      </c>
      <c r="K357">
        <v>111</v>
      </c>
      <c r="L357">
        <v>520.16</v>
      </c>
      <c r="M357">
        <v>57737.760000000002</v>
      </c>
      <c r="N357">
        <v>20</v>
      </c>
      <c r="O357">
        <f>Orders[[#This Row],[Actual_Ship_Date]]-Orders[[#This Row],[Expected_Ship_Date]]</f>
        <v>5</v>
      </c>
    </row>
    <row r="358" spans="1:15" x14ac:dyDescent="0.25">
      <c r="A358" t="s">
        <v>403</v>
      </c>
      <c r="B358" t="s">
        <v>15</v>
      </c>
      <c r="C358" t="s">
        <v>43</v>
      </c>
      <c r="D358" t="s">
        <v>35</v>
      </c>
      <c r="E358" t="s">
        <v>57</v>
      </c>
      <c r="F358" s="1">
        <v>45774</v>
      </c>
      <c r="G358" s="1">
        <v>45783</v>
      </c>
      <c r="H358" s="1">
        <v>45786</v>
      </c>
      <c r="I358" s="1">
        <v>45790</v>
      </c>
      <c r="J358" t="s">
        <v>27</v>
      </c>
      <c r="K358">
        <v>100</v>
      </c>
      <c r="L358">
        <v>700.55</v>
      </c>
      <c r="M358">
        <v>70055</v>
      </c>
      <c r="N358">
        <v>12</v>
      </c>
      <c r="O358">
        <f>Orders[[#This Row],[Actual_Ship_Date]]-Orders[[#This Row],[Expected_Ship_Date]]</f>
        <v>3</v>
      </c>
    </row>
    <row r="359" spans="1:15" x14ac:dyDescent="0.25">
      <c r="A359" t="s">
        <v>404</v>
      </c>
      <c r="B359" t="s">
        <v>29</v>
      </c>
      <c r="C359" t="s">
        <v>43</v>
      </c>
      <c r="D359" t="s">
        <v>22</v>
      </c>
      <c r="E359" t="s">
        <v>26</v>
      </c>
      <c r="F359" s="1">
        <v>45748</v>
      </c>
      <c r="G359" s="1">
        <v>45759</v>
      </c>
      <c r="H359" s="1">
        <v>45760</v>
      </c>
      <c r="I359" s="1">
        <v>45762</v>
      </c>
      <c r="J359" t="s">
        <v>27</v>
      </c>
      <c r="K359">
        <v>139</v>
      </c>
      <c r="L359">
        <v>749.24</v>
      </c>
      <c r="M359">
        <v>104144.36</v>
      </c>
      <c r="N359">
        <v>12</v>
      </c>
      <c r="O359">
        <f>Orders[[#This Row],[Actual_Ship_Date]]-Orders[[#This Row],[Expected_Ship_Date]]</f>
        <v>1</v>
      </c>
    </row>
    <row r="360" spans="1:15" x14ac:dyDescent="0.25">
      <c r="A360" t="s">
        <v>405</v>
      </c>
      <c r="B360" t="s">
        <v>56</v>
      </c>
      <c r="C360" t="s">
        <v>46</v>
      </c>
      <c r="D360" t="s">
        <v>39</v>
      </c>
      <c r="E360" t="s">
        <v>63</v>
      </c>
      <c r="F360" s="1">
        <v>45765</v>
      </c>
      <c r="G360" s="1">
        <v>45768</v>
      </c>
      <c r="H360" s="1">
        <v>45768</v>
      </c>
      <c r="I360" s="1">
        <v>45769</v>
      </c>
      <c r="J360" t="s">
        <v>32</v>
      </c>
      <c r="K360">
        <v>97</v>
      </c>
      <c r="L360">
        <v>603.37</v>
      </c>
      <c r="M360">
        <v>58526.89</v>
      </c>
      <c r="N360">
        <v>3</v>
      </c>
      <c r="O360">
        <f>Orders[[#This Row],[Actual_Ship_Date]]-Orders[[#This Row],[Expected_Ship_Date]]</f>
        <v>0</v>
      </c>
    </row>
    <row r="361" spans="1:15" x14ac:dyDescent="0.25">
      <c r="A361" t="s">
        <v>406</v>
      </c>
      <c r="B361" t="s">
        <v>53</v>
      </c>
      <c r="C361" t="s">
        <v>46</v>
      </c>
      <c r="D361" t="s">
        <v>59</v>
      </c>
      <c r="E361" t="s">
        <v>26</v>
      </c>
      <c r="F361" s="1">
        <v>45708</v>
      </c>
      <c r="G361" s="1">
        <v>45721</v>
      </c>
      <c r="H361" s="1">
        <v>45721</v>
      </c>
      <c r="I361" s="1">
        <v>45722</v>
      </c>
      <c r="J361" t="s">
        <v>19</v>
      </c>
      <c r="K361">
        <v>157</v>
      </c>
      <c r="L361">
        <v>387.5</v>
      </c>
      <c r="M361">
        <v>60837.5</v>
      </c>
      <c r="N361">
        <v>13</v>
      </c>
      <c r="O361">
        <f>Orders[[#This Row],[Actual_Ship_Date]]-Orders[[#This Row],[Expected_Ship_Date]]</f>
        <v>0</v>
      </c>
    </row>
    <row r="362" spans="1:15" x14ac:dyDescent="0.25">
      <c r="A362" t="s">
        <v>407</v>
      </c>
      <c r="B362" t="s">
        <v>48</v>
      </c>
      <c r="C362" t="s">
        <v>34</v>
      </c>
      <c r="D362" t="s">
        <v>22</v>
      </c>
      <c r="E362" t="s">
        <v>40</v>
      </c>
      <c r="F362" s="1">
        <v>45765</v>
      </c>
      <c r="G362" s="1">
        <v>45772</v>
      </c>
      <c r="H362" s="1">
        <v>45775</v>
      </c>
      <c r="I362" s="1">
        <v>45776</v>
      </c>
      <c r="J362" t="s">
        <v>27</v>
      </c>
      <c r="K362">
        <v>103</v>
      </c>
      <c r="L362">
        <v>56.46</v>
      </c>
      <c r="M362">
        <v>5815.38</v>
      </c>
      <c r="N362">
        <v>10</v>
      </c>
      <c r="O362">
        <f>Orders[[#This Row],[Actual_Ship_Date]]-Orders[[#This Row],[Expected_Ship_Date]]</f>
        <v>3</v>
      </c>
    </row>
    <row r="363" spans="1:15" x14ac:dyDescent="0.25">
      <c r="A363" t="s">
        <v>408</v>
      </c>
      <c r="B363" t="s">
        <v>78</v>
      </c>
      <c r="C363" t="s">
        <v>43</v>
      </c>
      <c r="D363" t="s">
        <v>17</v>
      </c>
      <c r="E363" t="s">
        <v>31</v>
      </c>
      <c r="F363" s="1">
        <v>45686</v>
      </c>
      <c r="G363" s="1">
        <v>45699</v>
      </c>
      <c r="H363" s="1">
        <v>45699</v>
      </c>
      <c r="I363" s="1">
        <v>45702</v>
      </c>
      <c r="J363" t="s">
        <v>36</v>
      </c>
      <c r="K363">
        <v>179</v>
      </c>
      <c r="L363">
        <v>22.43</v>
      </c>
      <c r="M363">
        <v>4014.97</v>
      </c>
      <c r="N363">
        <v>13</v>
      </c>
      <c r="O363">
        <f>Orders[[#This Row],[Actual_Ship_Date]]-Orders[[#This Row],[Expected_Ship_Date]]</f>
        <v>0</v>
      </c>
    </row>
    <row r="364" spans="1:15" x14ac:dyDescent="0.25">
      <c r="A364" t="s">
        <v>409</v>
      </c>
      <c r="B364" t="s">
        <v>38</v>
      </c>
      <c r="C364" t="s">
        <v>21</v>
      </c>
      <c r="D364" t="s">
        <v>59</v>
      </c>
      <c r="E364" t="s">
        <v>18</v>
      </c>
      <c r="F364" s="1">
        <v>45686</v>
      </c>
      <c r="G364" s="1">
        <v>45693</v>
      </c>
      <c r="H364" s="1">
        <v>45695</v>
      </c>
      <c r="I364" s="1">
        <v>45698</v>
      </c>
      <c r="J364" t="s">
        <v>27</v>
      </c>
      <c r="K364">
        <v>186</v>
      </c>
      <c r="L364">
        <v>551.69000000000005</v>
      </c>
      <c r="M364">
        <v>102614.34</v>
      </c>
      <c r="N364">
        <v>9</v>
      </c>
      <c r="O364">
        <f>Orders[[#This Row],[Actual_Ship_Date]]-Orders[[#This Row],[Expected_Ship_Date]]</f>
        <v>2</v>
      </c>
    </row>
    <row r="365" spans="1:15" x14ac:dyDescent="0.25">
      <c r="A365" t="s">
        <v>410</v>
      </c>
      <c r="B365" t="s">
        <v>42</v>
      </c>
      <c r="C365" t="s">
        <v>51</v>
      </c>
      <c r="D365" t="s">
        <v>17</v>
      </c>
      <c r="E365" t="s">
        <v>40</v>
      </c>
      <c r="F365" s="1">
        <v>45690</v>
      </c>
      <c r="G365" s="1">
        <v>45696</v>
      </c>
      <c r="H365" s="1">
        <v>45697</v>
      </c>
      <c r="I365" s="1">
        <v>45700</v>
      </c>
      <c r="J365" t="s">
        <v>27</v>
      </c>
      <c r="K365">
        <v>164</v>
      </c>
      <c r="L365">
        <v>346.62</v>
      </c>
      <c r="M365">
        <v>56845.68</v>
      </c>
      <c r="N365">
        <v>7</v>
      </c>
      <c r="O365">
        <f>Orders[[#This Row],[Actual_Ship_Date]]-Orders[[#This Row],[Expected_Ship_Date]]</f>
        <v>1</v>
      </c>
    </row>
    <row r="366" spans="1:15" x14ac:dyDescent="0.25">
      <c r="A366" t="s">
        <v>411</v>
      </c>
      <c r="B366" t="s">
        <v>53</v>
      </c>
      <c r="C366" t="s">
        <v>16</v>
      </c>
      <c r="D366" t="s">
        <v>59</v>
      </c>
      <c r="E366" t="s">
        <v>57</v>
      </c>
      <c r="F366" s="1">
        <v>45765</v>
      </c>
      <c r="G366" s="1">
        <v>45773</v>
      </c>
      <c r="H366" s="1">
        <v>45775</v>
      </c>
      <c r="I366" s="1">
        <v>45780</v>
      </c>
      <c r="J366" t="s">
        <v>27</v>
      </c>
      <c r="K366">
        <v>81</v>
      </c>
      <c r="L366">
        <v>586.48</v>
      </c>
      <c r="M366">
        <v>47504.88</v>
      </c>
      <c r="N366">
        <v>10</v>
      </c>
      <c r="O366">
        <f>Orders[[#This Row],[Actual_Ship_Date]]-Orders[[#This Row],[Expected_Ship_Date]]</f>
        <v>2</v>
      </c>
    </row>
    <row r="367" spans="1:15" x14ac:dyDescent="0.25">
      <c r="A367" t="s">
        <v>412</v>
      </c>
      <c r="B367" t="s">
        <v>56</v>
      </c>
      <c r="C367" t="s">
        <v>34</v>
      </c>
      <c r="D367" t="s">
        <v>22</v>
      </c>
      <c r="E367" t="s">
        <v>63</v>
      </c>
      <c r="F367" s="1">
        <v>45739</v>
      </c>
      <c r="G367" s="1">
        <v>45747</v>
      </c>
      <c r="H367" s="1">
        <v>45752</v>
      </c>
      <c r="I367" s="1">
        <v>45755</v>
      </c>
      <c r="J367" t="s">
        <v>27</v>
      </c>
      <c r="K367">
        <v>187</v>
      </c>
      <c r="L367">
        <v>810.08</v>
      </c>
      <c r="M367">
        <v>151484.96</v>
      </c>
      <c r="N367">
        <v>13</v>
      </c>
      <c r="O367">
        <f>Orders[[#This Row],[Actual_Ship_Date]]-Orders[[#This Row],[Expected_Ship_Date]]</f>
        <v>5</v>
      </c>
    </row>
    <row r="368" spans="1:15" x14ac:dyDescent="0.25">
      <c r="A368" t="s">
        <v>413</v>
      </c>
      <c r="B368" t="s">
        <v>29</v>
      </c>
      <c r="C368" t="s">
        <v>30</v>
      </c>
      <c r="D368" t="s">
        <v>59</v>
      </c>
      <c r="E368" t="s">
        <v>57</v>
      </c>
      <c r="F368" s="1">
        <v>45755</v>
      </c>
      <c r="G368" s="1">
        <v>45761</v>
      </c>
      <c r="H368" s="1">
        <v>45761</v>
      </c>
      <c r="I368" s="1">
        <v>45766</v>
      </c>
      <c r="J368" t="s">
        <v>36</v>
      </c>
      <c r="K368">
        <v>179</v>
      </c>
      <c r="L368">
        <v>131.84</v>
      </c>
      <c r="M368">
        <v>23599.360000000001</v>
      </c>
      <c r="N368">
        <v>6</v>
      </c>
      <c r="O368">
        <f>Orders[[#This Row],[Actual_Ship_Date]]-Orders[[#This Row],[Expected_Ship_Date]]</f>
        <v>0</v>
      </c>
    </row>
    <row r="369" spans="1:15" x14ac:dyDescent="0.25">
      <c r="A369" t="s">
        <v>414</v>
      </c>
      <c r="B369" t="s">
        <v>48</v>
      </c>
      <c r="C369" t="s">
        <v>34</v>
      </c>
      <c r="D369" t="s">
        <v>59</v>
      </c>
      <c r="E369" t="s">
        <v>40</v>
      </c>
      <c r="F369" s="1">
        <v>45774</v>
      </c>
      <c r="G369" s="1">
        <v>45783</v>
      </c>
      <c r="H369" s="1">
        <v>45784</v>
      </c>
      <c r="I369" s="1">
        <v>45788</v>
      </c>
      <c r="J369" t="s">
        <v>27</v>
      </c>
      <c r="K369">
        <v>154</v>
      </c>
      <c r="L369">
        <v>606.24</v>
      </c>
      <c r="M369">
        <v>93360.960000000006</v>
      </c>
      <c r="N369">
        <v>10</v>
      </c>
      <c r="O369">
        <f>Orders[[#This Row],[Actual_Ship_Date]]-Orders[[#This Row],[Expected_Ship_Date]]</f>
        <v>1</v>
      </c>
    </row>
    <row r="370" spans="1:15" x14ac:dyDescent="0.25">
      <c r="A370" t="s">
        <v>415</v>
      </c>
      <c r="B370" t="s">
        <v>24</v>
      </c>
      <c r="C370" t="s">
        <v>25</v>
      </c>
      <c r="D370" t="s">
        <v>22</v>
      </c>
      <c r="E370" t="s">
        <v>40</v>
      </c>
      <c r="F370" s="1">
        <v>45749</v>
      </c>
      <c r="G370" s="1">
        <v>45755</v>
      </c>
      <c r="H370" s="1">
        <v>45758</v>
      </c>
      <c r="I370" s="1">
        <v>45763</v>
      </c>
      <c r="J370" t="s">
        <v>27</v>
      </c>
      <c r="K370">
        <v>126</v>
      </c>
      <c r="L370">
        <v>771.95</v>
      </c>
      <c r="M370">
        <v>97265.7</v>
      </c>
      <c r="N370">
        <v>9</v>
      </c>
      <c r="O370">
        <f>Orders[[#This Row],[Actual_Ship_Date]]-Orders[[#This Row],[Expected_Ship_Date]]</f>
        <v>3</v>
      </c>
    </row>
    <row r="371" spans="1:15" x14ac:dyDescent="0.25">
      <c r="A371" t="s">
        <v>416</v>
      </c>
      <c r="B371" t="s">
        <v>15</v>
      </c>
      <c r="C371" t="s">
        <v>43</v>
      </c>
      <c r="D371" t="s">
        <v>59</v>
      </c>
      <c r="E371" t="s">
        <v>40</v>
      </c>
      <c r="F371" s="1">
        <v>45770</v>
      </c>
      <c r="G371" s="1">
        <v>45781</v>
      </c>
      <c r="H371" s="1">
        <v>45781</v>
      </c>
      <c r="I371" s="1">
        <v>45784</v>
      </c>
      <c r="J371" t="s">
        <v>19</v>
      </c>
      <c r="K371">
        <v>194</v>
      </c>
      <c r="L371">
        <v>230.97</v>
      </c>
      <c r="M371">
        <v>44808.18</v>
      </c>
      <c r="N371">
        <v>11</v>
      </c>
      <c r="O371">
        <f>Orders[[#This Row],[Actual_Ship_Date]]-Orders[[#This Row],[Expected_Ship_Date]]</f>
        <v>0</v>
      </c>
    </row>
    <row r="372" spans="1:15" x14ac:dyDescent="0.25">
      <c r="A372" t="s">
        <v>417</v>
      </c>
      <c r="B372" t="s">
        <v>48</v>
      </c>
      <c r="C372" t="s">
        <v>25</v>
      </c>
      <c r="D372" t="s">
        <v>39</v>
      </c>
      <c r="E372" t="s">
        <v>31</v>
      </c>
      <c r="F372" s="1">
        <v>45669</v>
      </c>
      <c r="G372" s="1">
        <v>45675</v>
      </c>
      <c r="H372" s="1">
        <v>45675</v>
      </c>
      <c r="I372" s="1">
        <v>45677</v>
      </c>
      <c r="J372" t="s">
        <v>36</v>
      </c>
      <c r="K372">
        <v>89</v>
      </c>
      <c r="L372">
        <v>325.35000000000002</v>
      </c>
      <c r="M372">
        <v>28956.15</v>
      </c>
      <c r="N372">
        <v>6</v>
      </c>
      <c r="O372">
        <f>Orders[[#This Row],[Actual_Ship_Date]]-Orders[[#This Row],[Expected_Ship_Date]]</f>
        <v>0</v>
      </c>
    </row>
    <row r="373" spans="1:15" x14ac:dyDescent="0.25">
      <c r="A373" t="s">
        <v>418</v>
      </c>
      <c r="B373" t="s">
        <v>45</v>
      </c>
      <c r="C373" t="s">
        <v>16</v>
      </c>
      <c r="D373" t="s">
        <v>39</v>
      </c>
      <c r="E373" t="s">
        <v>63</v>
      </c>
      <c r="F373" s="1">
        <v>45718</v>
      </c>
      <c r="G373" s="1">
        <v>45721</v>
      </c>
      <c r="H373" s="1">
        <v>45726</v>
      </c>
      <c r="I373" s="1">
        <v>45731</v>
      </c>
      <c r="J373" t="s">
        <v>27</v>
      </c>
      <c r="K373">
        <v>163</v>
      </c>
      <c r="L373">
        <v>74.47</v>
      </c>
      <c r="M373">
        <v>12138.61</v>
      </c>
      <c r="N373">
        <v>8</v>
      </c>
      <c r="O373">
        <f>Orders[[#This Row],[Actual_Ship_Date]]-Orders[[#This Row],[Expected_Ship_Date]]</f>
        <v>5</v>
      </c>
    </row>
    <row r="374" spans="1:15" x14ac:dyDescent="0.25">
      <c r="A374" t="s">
        <v>419</v>
      </c>
      <c r="B374" t="s">
        <v>48</v>
      </c>
      <c r="C374" t="s">
        <v>30</v>
      </c>
      <c r="D374" t="s">
        <v>22</v>
      </c>
      <c r="E374" t="s">
        <v>57</v>
      </c>
      <c r="F374" s="1">
        <v>45696</v>
      </c>
      <c r="G374" s="1">
        <v>45705</v>
      </c>
      <c r="H374" s="1">
        <v>45705</v>
      </c>
      <c r="I374" s="1">
        <v>45707</v>
      </c>
      <c r="J374" t="s">
        <v>19</v>
      </c>
      <c r="K374">
        <v>92</v>
      </c>
      <c r="L374">
        <v>356.68</v>
      </c>
      <c r="M374">
        <v>32814.559999999998</v>
      </c>
      <c r="N374">
        <v>9</v>
      </c>
      <c r="O374">
        <f>Orders[[#This Row],[Actual_Ship_Date]]-Orders[[#This Row],[Expected_Ship_Date]]</f>
        <v>0</v>
      </c>
    </row>
    <row r="375" spans="1:15" x14ac:dyDescent="0.25">
      <c r="A375" t="s">
        <v>420</v>
      </c>
      <c r="B375" t="s">
        <v>29</v>
      </c>
      <c r="C375" t="s">
        <v>51</v>
      </c>
      <c r="D375" t="s">
        <v>39</v>
      </c>
      <c r="E375" t="s">
        <v>57</v>
      </c>
      <c r="F375" s="1">
        <v>45768</v>
      </c>
      <c r="G375" s="1">
        <v>45782</v>
      </c>
      <c r="H375" s="1">
        <v>45782</v>
      </c>
      <c r="I375" s="1">
        <v>45783</v>
      </c>
      <c r="J375" t="s">
        <v>36</v>
      </c>
      <c r="K375">
        <v>50</v>
      </c>
      <c r="L375">
        <v>276.7</v>
      </c>
      <c r="M375">
        <v>13835</v>
      </c>
      <c r="N375">
        <v>14</v>
      </c>
      <c r="O375">
        <f>Orders[[#This Row],[Actual_Ship_Date]]-Orders[[#This Row],[Expected_Ship_Date]]</f>
        <v>0</v>
      </c>
    </row>
    <row r="376" spans="1:15" x14ac:dyDescent="0.25">
      <c r="A376" t="s">
        <v>421</v>
      </c>
      <c r="B376" t="s">
        <v>42</v>
      </c>
      <c r="C376" t="s">
        <v>43</v>
      </c>
      <c r="D376" t="s">
        <v>17</v>
      </c>
      <c r="E376" t="s">
        <v>18</v>
      </c>
      <c r="F376" s="1">
        <v>45684</v>
      </c>
      <c r="G376" s="1">
        <v>45699</v>
      </c>
      <c r="H376" s="1">
        <v>45704</v>
      </c>
      <c r="I376" s="1">
        <v>45706</v>
      </c>
      <c r="J376" t="s">
        <v>27</v>
      </c>
      <c r="K376">
        <v>45</v>
      </c>
      <c r="L376">
        <v>423.8</v>
      </c>
      <c r="M376">
        <v>19071</v>
      </c>
      <c r="N376">
        <v>20</v>
      </c>
      <c r="O376">
        <f>Orders[[#This Row],[Actual_Ship_Date]]-Orders[[#This Row],[Expected_Ship_Date]]</f>
        <v>5</v>
      </c>
    </row>
    <row r="377" spans="1:15" x14ac:dyDescent="0.25">
      <c r="A377" t="s">
        <v>422</v>
      </c>
      <c r="B377" t="s">
        <v>15</v>
      </c>
      <c r="C377" t="s">
        <v>34</v>
      </c>
      <c r="D377" t="s">
        <v>59</v>
      </c>
      <c r="E377" t="s">
        <v>31</v>
      </c>
      <c r="F377" s="1">
        <v>45739</v>
      </c>
      <c r="G377" s="1">
        <v>45748</v>
      </c>
      <c r="H377" s="1">
        <v>45749</v>
      </c>
      <c r="I377" s="1">
        <v>45753</v>
      </c>
      <c r="J377" t="s">
        <v>27</v>
      </c>
      <c r="K377">
        <v>103</v>
      </c>
      <c r="L377">
        <v>18.899999999999999</v>
      </c>
      <c r="M377">
        <v>1946.7</v>
      </c>
      <c r="N377">
        <v>10</v>
      </c>
      <c r="O377">
        <f>Orders[[#This Row],[Actual_Ship_Date]]-Orders[[#This Row],[Expected_Ship_Date]]</f>
        <v>1</v>
      </c>
    </row>
    <row r="378" spans="1:15" x14ac:dyDescent="0.25">
      <c r="A378" t="s">
        <v>423</v>
      </c>
      <c r="B378" t="s">
        <v>45</v>
      </c>
      <c r="C378" t="s">
        <v>34</v>
      </c>
      <c r="D378" t="s">
        <v>59</v>
      </c>
      <c r="E378" t="s">
        <v>57</v>
      </c>
      <c r="F378" s="1">
        <v>45772</v>
      </c>
      <c r="G378" s="1">
        <v>45780</v>
      </c>
      <c r="H378" s="1">
        <v>45785</v>
      </c>
      <c r="I378" s="1">
        <v>45790</v>
      </c>
      <c r="J378" t="s">
        <v>32</v>
      </c>
      <c r="K378">
        <v>178</v>
      </c>
      <c r="L378">
        <v>18.440000000000001</v>
      </c>
      <c r="M378">
        <v>3282.32</v>
      </c>
      <c r="N378">
        <v>13</v>
      </c>
      <c r="O378">
        <f>Orders[[#This Row],[Actual_Ship_Date]]-Orders[[#This Row],[Expected_Ship_Date]]</f>
        <v>5</v>
      </c>
    </row>
    <row r="379" spans="1:15" x14ac:dyDescent="0.25">
      <c r="A379" t="s">
        <v>424</v>
      </c>
      <c r="B379" t="s">
        <v>29</v>
      </c>
      <c r="C379" t="s">
        <v>25</v>
      </c>
      <c r="D379" t="s">
        <v>59</v>
      </c>
      <c r="E379" t="s">
        <v>18</v>
      </c>
      <c r="F379" s="1">
        <v>45674</v>
      </c>
      <c r="G379" s="1">
        <v>45678</v>
      </c>
      <c r="H379" s="1">
        <v>45679</v>
      </c>
      <c r="I379" s="1">
        <v>45684</v>
      </c>
      <c r="J379" t="s">
        <v>27</v>
      </c>
      <c r="K379">
        <v>47</v>
      </c>
      <c r="L379">
        <v>69.510000000000005</v>
      </c>
      <c r="M379">
        <v>3266.97</v>
      </c>
      <c r="N379">
        <v>5</v>
      </c>
      <c r="O379">
        <f>Orders[[#This Row],[Actual_Ship_Date]]-Orders[[#This Row],[Expected_Ship_Date]]</f>
        <v>1</v>
      </c>
    </row>
    <row r="380" spans="1:15" x14ac:dyDescent="0.25">
      <c r="A380" t="s">
        <v>425</v>
      </c>
      <c r="B380" t="s">
        <v>24</v>
      </c>
      <c r="C380" t="s">
        <v>30</v>
      </c>
      <c r="D380" t="s">
        <v>59</v>
      </c>
      <c r="E380" t="s">
        <v>26</v>
      </c>
      <c r="F380" s="1">
        <v>45751</v>
      </c>
      <c r="G380" s="1">
        <v>45762</v>
      </c>
      <c r="H380" s="1">
        <v>45764</v>
      </c>
      <c r="I380" s="1">
        <v>45769</v>
      </c>
      <c r="J380" t="s">
        <v>27</v>
      </c>
      <c r="K380">
        <v>180</v>
      </c>
      <c r="L380">
        <v>846.22</v>
      </c>
      <c r="M380">
        <v>152319.6</v>
      </c>
      <c r="N380">
        <v>13</v>
      </c>
      <c r="O380">
        <f>Orders[[#This Row],[Actual_Ship_Date]]-Orders[[#This Row],[Expected_Ship_Date]]</f>
        <v>2</v>
      </c>
    </row>
    <row r="381" spans="1:15" x14ac:dyDescent="0.25">
      <c r="A381" t="s">
        <v>426</v>
      </c>
      <c r="B381" t="s">
        <v>45</v>
      </c>
      <c r="C381" t="s">
        <v>51</v>
      </c>
      <c r="D381" t="s">
        <v>17</v>
      </c>
      <c r="E381" t="s">
        <v>63</v>
      </c>
      <c r="F381" s="1">
        <v>45679</v>
      </c>
      <c r="G381" s="1">
        <v>45694</v>
      </c>
      <c r="H381" s="1">
        <v>45695</v>
      </c>
      <c r="I381" s="1">
        <v>45696</v>
      </c>
      <c r="J381" t="s">
        <v>27</v>
      </c>
      <c r="K381">
        <v>191</v>
      </c>
      <c r="L381">
        <v>837.37</v>
      </c>
      <c r="M381">
        <v>159937.67000000001</v>
      </c>
      <c r="N381">
        <v>16</v>
      </c>
      <c r="O381">
        <f>Orders[[#This Row],[Actual_Ship_Date]]-Orders[[#This Row],[Expected_Ship_Date]]</f>
        <v>1</v>
      </c>
    </row>
    <row r="382" spans="1:15" x14ac:dyDescent="0.25">
      <c r="A382" t="s">
        <v>427</v>
      </c>
      <c r="B382" t="s">
        <v>48</v>
      </c>
      <c r="C382" t="s">
        <v>51</v>
      </c>
      <c r="D382" t="s">
        <v>17</v>
      </c>
      <c r="E382" t="s">
        <v>31</v>
      </c>
      <c r="F382" s="1">
        <v>45679</v>
      </c>
      <c r="G382" s="1">
        <v>45683</v>
      </c>
      <c r="H382" s="1">
        <v>45683</v>
      </c>
      <c r="I382" s="1">
        <v>45684</v>
      </c>
      <c r="J382" t="s">
        <v>36</v>
      </c>
      <c r="K382">
        <v>70</v>
      </c>
      <c r="L382">
        <v>658.99</v>
      </c>
      <c r="M382">
        <v>46129.3</v>
      </c>
      <c r="N382">
        <v>4</v>
      </c>
      <c r="O382">
        <f>Orders[[#This Row],[Actual_Ship_Date]]-Orders[[#This Row],[Expected_Ship_Date]]</f>
        <v>0</v>
      </c>
    </row>
    <row r="383" spans="1:15" x14ac:dyDescent="0.25">
      <c r="A383" t="s">
        <v>428</v>
      </c>
      <c r="B383" t="s">
        <v>38</v>
      </c>
      <c r="C383" t="s">
        <v>16</v>
      </c>
      <c r="D383" t="s">
        <v>17</v>
      </c>
      <c r="E383" t="s">
        <v>57</v>
      </c>
      <c r="F383" s="1">
        <v>45742</v>
      </c>
      <c r="G383" s="1">
        <v>45746</v>
      </c>
      <c r="H383" s="1">
        <v>45749</v>
      </c>
      <c r="I383" s="1">
        <v>45750</v>
      </c>
      <c r="J383" t="s">
        <v>32</v>
      </c>
      <c r="K383">
        <v>34</v>
      </c>
      <c r="L383">
        <v>363.01</v>
      </c>
      <c r="M383">
        <v>12342.34</v>
      </c>
      <c r="N383">
        <v>7</v>
      </c>
      <c r="O383">
        <f>Orders[[#This Row],[Actual_Ship_Date]]-Orders[[#This Row],[Expected_Ship_Date]]</f>
        <v>3</v>
      </c>
    </row>
    <row r="384" spans="1:15" x14ac:dyDescent="0.25">
      <c r="A384" t="s">
        <v>429</v>
      </c>
      <c r="B384" t="s">
        <v>15</v>
      </c>
      <c r="C384" t="s">
        <v>25</v>
      </c>
      <c r="D384" t="s">
        <v>17</v>
      </c>
      <c r="E384" t="s">
        <v>63</v>
      </c>
      <c r="F384" s="1">
        <v>45718</v>
      </c>
      <c r="G384" s="1">
        <v>45732</v>
      </c>
      <c r="H384" s="1">
        <v>45732</v>
      </c>
      <c r="I384" s="1">
        <v>45734</v>
      </c>
      <c r="J384" t="s">
        <v>19</v>
      </c>
      <c r="K384">
        <v>174</v>
      </c>
      <c r="L384">
        <v>99.32</v>
      </c>
      <c r="M384">
        <v>17281.68</v>
      </c>
      <c r="N384">
        <v>14</v>
      </c>
      <c r="O384">
        <f>Orders[[#This Row],[Actual_Ship_Date]]-Orders[[#This Row],[Expected_Ship_Date]]</f>
        <v>0</v>
      </c>
    </row>
    <row r="385" spans="1:15" x14ac:dyDescent="0.25">
      <c r="A385" t="s">
        <v>430</v>
      </c>
      <c r="B385" t="s">
        <v>42</v>
      </c>
      <c r="C385" t="s">
        <v>16</v>
      </c>
      <c r="D385" t="s">
        <v>39</v>
      </c>
      <c r="E385" t="s">
        <v>26</v>
      </c>
      <c r="F385" s="1">
        <v>45747</v>
      </c>
      <c r="G385" s="1">
        <v>45752</v>
      </c>
      <c r="H385" s="1">
        <v>45753</v>
      </c>
      <c r="I385" s="1">
        <v>45754</v>
      </c>
      <c r="J385" t="s">
        <v>27</v>
      </c>
      <c r="K385">
        <v>163</v>
      </c>
      <c r="L385">
        <v>113.31</v>
      </c>
      <c r="M385">
        <v>18469.53</v>
      </c>
      <c r="N385">
        <v>6</v>
      </c>
      <c r="O385">
        <f>Orders[[#This Row],[Actual_Ship_Date]]-Orders[[#This Row],[Expected_Ship_Date]]</f>
        <v>1</v>
      </c>
    </row>
    <row r="386" spans="1:15" x14ac:dyDescent="0.25">
      <c r="A386" t="s">
        <v>431</v>
      </c>
      <c r="B386" t="s">
        <v>38</v>
      </c>
      <c r="C386" t="s">
        <v>25</v>
      </c>
      <c r="D386" t="s">
        <v>22</v>
      </c>
      <c r="E386" t="s">
        <v>31</v>
      </c>
      <c r="F386" s="1">
        <v>45735</v>
      </c>
      <c r="G386" s="1">
        <v>45741</v>
      </c>
      <c r="H386" s="1">
        <v>45746</v>
      </c>
      <c r="I386" s="1">
        <v>45749</v>
      </c>
      <c r="J386" t="s">
        <v>27</v>
      </c>
      <c r="K386">
        <v>56</v>
      </c>
      <c r="L386">
        <v>313.86</v>
      </c>
      <c r="M386">
        <v>17576.16</v>
      </c>
      <c r="N386">
        <v>11</v>
      </c>
      <c r="O386">
        <f>Orders[[#This Row],[Actual_Ship_Date]]-Orders[[#This Row],[Expected_Ship_Date]]</f>
        <v>5</v>
      </c>
    </row>
    <row r="387" spans="1:15" x14ac:dyDescent="0.25">
      <c r="A387" t="s">
        <v>432</v>
      </c>
      <c r="B387" t="s">
        <v>42</v>
      </c>
      <c r="C387" t="s">
        <v>30</v>
      </c>
      <c r="D387" t="s">
        <v>22</v>
      </c>
      <c r="E387" t="s">
        <v>31</v>
      </c>
      <c r="F387" s="1">
        <v>45728</v>
      </c>
      <c r="G387" s="1">
        <v>45738</v>
      </c>
      <c r="H387" s="1">
        <v>45738</v>
      </c>
      <c r="I387" s="1">
        <v>45742</v>
      </c>
      <c r="J387" t="s">
        <v>36</v>
      </c>
      <c r="K387">
        <v>8</v>
      </c>
      <c r="L387">
        <v>575.80999999999995</v>
      </c>
      <c r="M387">
        <v>4606.4799999999996</v>
      </c>
      <c r="N387">
        <v>10</v>
      </c>
      <c r="O387">
        <f>Orders[[#This Row],[Actual_Ship_Date]]-Orders[[#This Row],[Expected_Ship_Date]]</f>
        <v>0</v>
      </c>
    </row>
    <row r="388" spans="1:15" x14ac:dyDescent="0.25">
      <c r="A388" t="s">
        <v>433</v>
      </c>
      <c r="B388" t="s">
        <v>56</v>
      </c>
      <c r="C388" t="s">
        <v>25</v>
      </c>
      <c r="D388" t="s">
        <v>39</v>
      </c>
      <c r="E388" t="s">
        <v>31</v>
      </c>
      <c r="F388" s="1">
        <v>45757</v>
      </c>
      <c r="G388" s="1">
        <v>45768</v>
      </c>
      <c r="H388" s="1">
        <v>45768</v>
      </c>
      <c r="I388" s="1">
        <v>45769</v>
      </c>
      <c r="J388" t="s">
        <v>36</v>
      </c>
      <c r="K388">
        <v>121</v>
      </c>
      <c r="L388">
        <v>840.54</v>
      </c>
      <c r="M388">
        <v>101705.34</v>
      </c>
      <c r="N388">
        <v>11</v>
      </c>
      <c r="O388">
        <f>Orders[[#This Row],[Actual_Ship_Date]]-Orders[[#This Row],[Expected_Ship_Date]]</f>
        <v>0</v>
      </c>
    </row>
    <row r="389" spans="1:15" x14ac:dyDescent="0.25">
      <c r="A389" t="s">
        <v>434</v>
      </c>
      <c r="B389" t="s">
        <v>24</v>
      </c>
      <c r="C389" t="s">
        <v>21</v>
      </c>
      <c r="D389" t="s">
        <v>35</v>
      </c>
      <c r="E389" t="s">
        <v>31</v>
      </c>
      <c r="F389" s="1">
        <v>45670</v>
      </c>
      <c r="G389" s="1">
        <v>45675</v>
      </c>
      <c r="H389" s="1">
        <v>45680</v>
      </c>
      <c r="I389" s="1">
        <v>45681</v>
      </c>
      <c r="J389" t="s">
        <v>27</v>
      </c>
      <c r="K389">
        <v>97</v>
      </c>
      <c r="L389">
        <v>684.33</v>
      </c>
      <c r="M389">
        <v>66380.009999999995</v>
      </c>
      <c r="N389">
        <v>10</v>
      </c>
      <c r="O389">
        <f>Orders[[#This Row],[Actual_Ship_Date]]-Orders[[#This Row],[Expected_Ship_Date]]</f>
        <v>5</v>
      </c>
    </row>
    <row r="390" spans="1:15" x14ac:dyDescent="0.25">
      <c r="A390" t="s">
        <v>435</v>
      </c>
      <c r="B390" t="s">
        <v>53</v>
      </c>
      <c r="C390" t="s">
        <v>25</v>
      </c>
      <c r="D390" t="s">
        <v>35</v>
      </c>
      <c r="E390" t="s">
        <v>57</v>
      </c>
      <c r="F390" s="1">
        <v>45766</v>
      </c>
      <c r="G390" s="1">
        <v>45781</v>
      </c>
      <c r="H390" s="1">
        <v>45781</v>
      </c>
      <c r="I390" s="1">
        <v>45782</v>
      </c>
      <c r="J390" t="s">
        <v>19</v>
      </c>
      <c r="K390">
        <v>48</v>
      </c>
      <c r="L390">
        <v>289.43</v>
      </c>
      <c r="M390">
        <v>13892.64</v>
      </c>
      <c r="N390">
        <v>15</v>
      </c>
      <c r="O390">
        <f>Orders[[#This Row],[Actual_Ship_Date]]-Orders[[#This Row],[Expected_Ship_Date]]</f>
        <v>0</v>
      </c>
    </row>
    <row r="391" spans="1:15" x14ac:dyDescent="0.25">
      <c r="A391" t="s">
        <v>436</v>
      </c>
      <c r="B391" t="s">
        <v>38</v>
      </c>
      <c r="C391" t="s">
        <v>30</v>
      </c>
      <c r="D391" t="s">
        <v>39</v>
      </c>
      <c r="E391" t="s">
        <v>40</v>
      </c>
      <c r="F391" s="1">
        <v>45762</v>
      </c>
      <c r="G391" s="1">
        <v>45770</v>
      </c>
      <c r="H391" s="1">
        <v>45770</v>
      </c>
      <c r="I391" s="1">
        <v>45771</v>
      </c>
      <c r="J391" t="s">
        <v>36</v>
      </c>
      <c r="K391">
        <v>121</v>
      </c>
      <c r="L391">
        <v>241.98</v>
      </c>
      <c r="M391">
        <v>29279.58</v>
      </c>
      <c r="N391">
        <v>8</v>
      </c>
      <c r="O391">
        <f>Orders[[#This Row],[Actual_Ship_Date]]-Orders[[#This Row],[Expected_Ship_Date]]</f>
        <v>0</v>
      </c>
    </row>
    <row r="392" spans="1:15" x14ac:dyDescent="0.25">
      <c r="A392" t="s">
        <v>437</v>
      </c>
      <c r="B392" t="s">
        <v>78</v>
      </c>
      <c r="C392" t="s">
        <v>16</v>
      </c>
      <c r="D392" t="s">
        <v>39</v>
      </c>
      <c r="E392" t="s">
        <v>63</v>
      </c>
      <c r="F392" s="1">
        <v>45771</v>
      </c>
      <c r="G392" s="1">
        <v>45786</v>
      </c>
      <c r="H392" s="1">
        <v>45786</v>
      </c>
      <c r="I392" s="1">
        <v>45787</v>
      </c>
      <c r="J392" t="s">
        <v>19</v>
      </c>
      <c r="K392">
        <v>20</v>
      </c>
      <c r="L392">
        <v>834.61</v>
      </c>
      <c r="M392">
        <v>16692.2</v>
      </c>
      <c r="N392">
        <v>15</v>
      </c>
      <c r="O392">
        <f>Orders[[#This Row],[Actual_Ship_Date]]-Orders[[#This Row],[Expected_Ship_Date]]</f>
        <v>0</v>
      </c>
    </row>
    <row r="393" spans="1:15" x14ac:dyDescent="0.25">
      <c r="A393" t="s">
        <v>438</v>
      </c>
      <c r="B393" t="s">
        <v>48</v>
      </c>
      <c r="C393" t="s">
        <v>51</v>
      </c>
      <c r="D393" t="s">
        <v>22</v>
      </c>
      <c r="E393" t="s">
        <v>18</v>
      </c>
      <c r="F393" s="1">
        <v>45719</v>
      </c>
      <c r="G393" s="1">
        <v>45734</v>
      </c>
      <c r="H393" s="1">
        <v>45736</v>
      </c>
      <c r="I393" s="1">
        <v>45740</v>
      </c>
      <c r="J393" t="s">
        <v>32</v>
      </c>
      <c r="K393">
        <v>102</v>
      </c>
      <c r="L393">
        <v>665.6</v>
      </c>
      <c r="M393">
        <v>67891.199999999997</v>
      </c>
      <c r="N393">
        <v>17</v>
      </c>
      <c r="O393">
        <f>Orders[[#This Row],[Actual_Ship_Date]]-Orders[[#This Row],[Expected_Ship_Date]]</f>
        <v>2</v>
      </c>
    </row>
    <row r="394" spans="1:15" x14ac:dyDescent="0.25">
      <c r="A394" t="s">
        <v>439</v>
      </c>
      <c r="B394" t="s">
        <v>29</v>
      </c>
      <c r="C394" t="s">
        <v>34</v>
      </c>
      <c r="D394" t="s">
        <v>59</v>
      </c>
      <c r="E394" t="s">
        <v>63</v>
      </c>
      <c r="F394" s="1">
        <v>45775</v>
      </c>
      <c r="G394" s="1">
        <v>45785</v>
      </c>
      <c r="H394" s="1">
        <v>45785</v>
      </c>
      <c r="I394" s="1">
        <v>45789</v>
      </c>
      <c r="J394" t="s">
        <v>32</v>
      </c>
      <c r="K394">
        <v>71</v>
      </c>
      <c r="L394">
        <v>561.9</v>
      </c>
      <c r="M394">
        <v>39894.9</v>
      </c>
      <c r="N394">
        <v>10</v>
      </c>
      <c r="O394">
        <f>Orders[[#This Row],[Actual_Ship_Date]]-Orders[[#This Row],[Expected_Ship_Date]]</f>
        <v>0</v>
      </c>
    </row>
    <row r="395" spans="1:15" x14ac:dyDescent="0.25">
      <c r="A395" t="s">
        <v>440</v>
      </c>
      <c r="B395" t="s">
        <v>53</v>
      </c>
      <c r="C395" t="s">
        <v>46</v>
      </c>
      <c r="D395" t="s">
        <v>39</v>
      </c>
      <c r="E395" t="s">
        <v>26</v>
      </c>
      <c r="F395" s="1">
        <v>45724</v>
      </c>
      <c r="G395" s="1">
        <v>45738</v>
      </c>
      <c r="H395" s="1">
        <v>45741</v>
      </c>
      <c r="I395" s="1">
        <v>45746</v>
      </c>
      <c r="J395" t="s">
        <v>32</v>
      </c>
      <c r="K395">
        <v>174</v>
      </c>
      <c r="L395">
        <v>621.75</v>
      </c>
      <c r="M395">
        <v>108184.5</v>
      </c>
      <c r="N395">
        <v>17</v>
      </c>
      <c r="O395">
        <f>Orders[[#This Row],[Actual_Ship_Date]]-Orders[[#This Row],[Expected_Ship_Date]]</f>
        <v>3</v>
      </c>
    </row>
    <row r="396" spans="1:15" x14ac:dyDescent="0.25">
      <c r="A396" t="s">
        <v>441</v>
      </c>
      <c r="B396" t="s">
        <v>53</v>
      </c>
      <c r="C396" t="s">
        <v>30</v>
      </c>
      <c r="D396" t="s">
        <v>22</v>
      </c>
      <c r="E396" t="s">
        <v>31</v>
      </c>
      <c r="F396" s="1">
        <v>45765</v>
      </c>
      <c r="G396" s="1">
        <v>45776</v>
      </c>
      <c r="H396" s="1">
        <v>45778</v>
      </c>
      <c r="I396" s="1">
        <v>45779</v>
      </c>
      <c r="J396" t="s">
        <v>32</v>
      </c>
      <c r="K396">
        <v>45</v>
      </c>
      <c r="L396">
        <v>437.15</v>
      </c>
      <c r="M396">
        <v>19671.75</v>
      </c>
      <c r="N396">
        <v>13</v>
      </c>
      <c r="O396">
        <f>Orders[[#This Row],[Actual_Ship_Date]]-Orders[[#This Row],[Expected_Ship_Date]]</f>
        <v>2</v>
      </c>
    </row>
    <row r="397" spans="1:15" x14ac:dyDescent="0.25">
      <c r="A397" t="s">
        <v>442</v>
      </c>
      <c r="B397" t="s">
        <v>15</v>
      </c>
      <c r="C397" t="s">
        <v>21</v>
      </c>
      <c r="D397" t="s">
        <v>39</v>
      </c>
      <c r="E397" t="s">
        <v>26</v>
      </c>
      <c r="F397" s="1">
        <v>45754</v>
      </c>
      <c r="G397" s="1">
        <v>45764</v>
      </c>
      <c r="H397" s="1">
        <v>45764</v>
      </c>
      <c r="I397" s="1">
        <v>45766</v>
      </c>
      <c r="J397" t="s">
        <v>36</v>
      </c>
      <c r="K397">
        <v>17</v>
      </c>
      <c r="L397">
        <v>438.29</v>
      </c>
      <c r="M397">
        <v>7450.93</v>
      </c>
      <c r="N397">
        <v>10</v>
      </c>
      <c r="O397">
        <f>Orders[[#This Row],[Actual_Ship_Date]]-Orders[[#This Row],[Expected_Ship_Date]]</f>
        <v>0</v>
      </c>
    </row>
    <row r="398" spans="1:15" x14ac:dyDescent="0.25">
      <c r="A398" t="s">
        <v>443</v>
      </c>
      <c r="B398" t="s">
        <v>42</v>
      </c>
      <c r="C398" t="s">
        <v>30</v>
      </c>
      <c r="D398" t="s">
        <v>35</v>
      </c>
      <c r="E398" t="s">
        <v>31</v>
      </c>
      <c r="F398" s="1">
        <v>45668</v>
      </c>
      <c r="G398" s="1">
        <v>45678</v>
      </c>
      <c r="H398" s="1">
        <v>45679</v>
      </c>
      <c r="I398" s="1">
        <v>45684</v>
      </c>
      <c r="J398" t="s">
        <v>27</v>
      </c>
      <c r="K398">
        <v>132</v>
      </c>
      <c r="L398">
        <v>388.3</v>
      </c>
      <c r="M398">
        <v>51255.6</v>
      </c>
      <c r="N398">
        <v>11</v>
      </c>
      <c r="O398">
        <f>Orders[[#This Row],[Actual_Ship_Date]]-Orders[[#This Row],[Expected_Ship_Date]]</f>
        <v>1</v>
      </c>
    </row>
    <row r="399" spans="1:15" x14ac:dyDescent="0.25">
      <c r="A399" t="s">
        <v>444</v>
      </c>
      <c r="B399" t="s">
        <v>56</v>
      </c>
      <c r="C399" t="s">
        <v>34</v>
      </c>
      <c r="D399" t="s">
        <v>39</v>
      </c>
      <c r="E399" t="s">
        <v>57</v>
      </c>
      <c r="F399" s="1">
        <v>45709</v>
      </c>
      <c r="G399" s="1">
        <v>45718</v>
      </c>
      <c r="H399" s="1">
        <v>45718</v>
      </c>
      <c r="I399" s="1">
        <v>45723</v>
      </c>
      <c r="J399" t="s">
        <v>19</v>
      </c>
      <c r="K399">
        <v>159</v>
      </c>
      <c r="L399">
        <v>819.25</v>
      </c>
      <c r="M399">
        <v>130260.75</v>
      </c>
      <c r="N399">
        <v>9</v>
      </c>
      <c r="O399">
        <f>Orders[[#This Row],[Actual_Ship_Date]]-Orders[[#This Row],[Expected_Ship_Date]]</f>
        <v>0</v>
      </c>
    </row>
    <row r="400" spans="1:15" x14ac:dyDescent="0.25">
      <c r="A400" t="s">
        <v>445</v>
      </c>
      <c r="B400" t="s">
        <v>48</v>
      </c>
      <c r="C400" t="s">
        <v>30</v>
      </c>
      <c r="D400" t="s">
        <v>59</v>
      </c>
      <c r="E400" t="s">
        <v>40</v>
      </c>
      <c r="F400" s="1">
        <v>45704</v>
      </c>
      <c r="G400" s="1">
        <v>45707</v>
      </c>
      <c r="H400" s="1">
        <v>45712</v>
      </c>
      <c r="I400" s="1">
        <v>45714</v>
      </c>
      <c r="J400" t="s">
        <v>27</v>
      </c>
      <c r="K400">
        <v>89</v>
      </c>
      <c r="L400">
        <v>482.73</v>
      </c>
      <c r="M400">
        <v>42962.97</v>
      </c>
      <c r="N400">
        <v>8</v>
      </c>
      <c r="O400">
        <f>Orders[[#This Row],[Actual_Ship_Date]]-Orders[[#This Row],[Expected_Ship_Date]]</f>
        <v>5</v>
      </c>
    </row>
    <row r="401" spans="1:15" x14ac:dyDescent="0.25">
      <c r="A401" t="s">
        <v>446</v>
      </c>
      <c r="B401" t="s">
        <v>56</v>
      </c>
      <c r="C401" t="s">
        <v>46</v>
      </c>
      <c r="D401" t="s">
        <v>35</v>
      </c>
      <c r="E401" t="s">
        <v>31</v>
      </c>
      <c r="F401" s="1">
        <v>45715</v>
      </c>
      <c r="G401" s="1">
        <v>45719</v>
      </c>
      <c r="H401" s="1">
        <v>45719</v>
      </c>
      <c r="I401" s="1">
        <v>45721</v>
      </c>
      <c r="J401" t="s">
        <v>19</v>
      </c>
      <c r="K401">
        <v>167</v>
      </c>
      <c r="L401">
        <v>820.3</v>
      </c>
      <c r="M401">
        <v>136990.1</v>
      </c>
      <c r="N401">
        <v>4</v>
      </c>
      <c r="O401">
        <f>Orders[[#This Row],[Actual_Ship_Date]]-Orders[[#This Row],[Expected_Ship_Date]]</f>
        <v>0</v>
      </c>
    </row>
    <row r="402" spans="1:15" x14ac:dyDescent="0.25">
      <c r="A402" t="s">
        <v>447</v>
      </c>
      <c r="B402" t="s">
        <v>42</v>
      </c>
      <c r="C402" t="s">
        <v>25</v>
      </c>
      <c r="D402" t="s">
        <v>17</v>
      </c>
      <c r="E402" t="s">
        <v>26</v>
      </c>
      <c r="F402" s="1">
        <v>45772</v>
      </c>
      <c r="G402" s="1">
        <v>45777</v>
      </c>
      <c r="H402" s="1">
        <v>45778</v>
      </c>
      <c r="I402" s="1">
        <v>45780</v>
      </c>
      <c r="J402" t="s">
        <v>27</v>
      </c>
      <c r="K402">
        <v>195</v>
      </c>
      <c r="L402">
        <v>617.5</v>
      </c>
      <c r="M402">
        <v>120412.5</v>
      </c>
      <c r="N402">
        <v>6</v>
      </c>
      <c r="O402">
        <f>Orders[[#This Row],[Actual_Ship_Date]]-Orders[[#This Row],[Expected_Ship_Date]]</f>
        <v>1</v>
      </c>
    </row>
    <row r="403" spans="1:15" x14ac:dyDescent="0.25">
      <c r="A403" t="s">
        <v>448</v>
      </c>
      <c r="B403" t="s">
        <v>42</v>
      </c>
      <c r="C403" t="s">
        <v>21</v>
      </c>
      <c r="D403" t="s">
        <v>35</v>
      </c>
      <c r="E403" t="s">
        <v>40</v>
      </c>
      <c r="F403" s="1">
        <v>45682</v>
      </c>
      <c r="G403" s="1">
        <v>45686</v>
      </c>
      <c r="H403" s="1">
        <v>45691</v>
      </c>
      <c r="I403" s="1">
        <v>45695</v>
      </c>
      <c r="J403" t="s">
        <v>27</v>
      </c>
      <c r="K403">
        <v>53</v>
      </c>
      <c r="L403">
        <v>613.52</v>
      </c>
      <c r="M403">
        <v>32516.560000000001</v>
      </c>
      <c r="N403">
        <v>9</v>
      </c>
      <c r="O403">
        <f>Orders[[#This Row],[Actual_Ship_Date]]-Orders[[#This Row],[Expected_Ship_Date]]</f>
        <v>5</v>
      </c>
    </row>
    <row r="404" spans="1:15" x14ac:dyDescent="0.25">
      <c r="A404" t="s">
        <v>449</v>
      </c>
      <c r="B404" t="s">
        <v>48</v>
      </c>
      <c r="C404" t="s">
        <v>43</v>
      </c>
      <c r="D404" t="s">
        <v>39</v>
      </c>
      <c r="E404" t="s">
        <v>31</v>
      </c>
      <c r="F404" s="1">
        <v>45765</v>
      </c>
      <c r="G404" s="1">
        <v>45778</v>
      </c>
      <c r="H404" s="1">
        <v>45780</v>
      </c>
      <c r="I404" s="1">
        <v>45781</v>
      </c>
      <c r="J404" t="s">
        <v>27</v>
      </c>
      <c r="K404">
        <v>120</v>
      </c>
      <c r="L404">
        <v>396.92</v>
      </c>
      <c r="M404">
        <v>47630.400000000001</v>
      </c>
      <c r="N404">
        <v>15</v>
      </c>
      <c r="O404">
        <f>Orders[[#This Row],[Actual_Ship_Date]]-Orders[[#This Row],[Expected_Ship_Date]]</f>
        <v>2</v>
      </c>
    </row>
    <row r="405" spans="1:15" x14ac:dyDescent="0.25">
      <c r="A405" t="s">
        <v>450</v>
      </c>
      <c r="B405" t="s">
        <v>78</v>
      </c>
      <c r="C405" t="s">
        <v>43</v>
      </c>
      <c r="D405" t="s">
        <v>22</v>
      </c>
      <c r="E405" t="s">
        <v>31</v>
      </c>
      <c r="F405" s="1">
        <v>45725</v>
      </c>
      <c r="G405" s="1">
        <v>45739</v>
      </c>
      <c r="H405" s="1">
        <v>45739</v>
      </c>
      <c r="I405" s="1">
        <v>45744</v>
      </c>
      <c r="J405" t="s">
        <v>36</v>
      </c>
      <c r="K405">
        <v>128</v>
      </c>
      <c r="L405">
        <v>786.85</v>
      </c>
      <c r="M405">
        <v>100716.8</v>
      </c>
      <c r="N405">
        <v>14</v>
      </c>
      <c r="O405">
        <f>Orders[[#This Row],[Actual_Ship_Date]]-Orders[[#This Row],[Expected_Ship_Date]]</f>
        <v>0</v>
      </c>
    </row>
    <row r="406" spans="1:15" x14ac:dyDescent="0.25">
      <c r="A406" t="s">
        <v>451</v>
      </c>
      <c r="B406" t="s">
        <v>38</v>
      </c>
      <c r="C406" t="s">
        <v>34</v>
      </c>
      <c r="D406" t="s">
        <v>59</v>
      </c>
      <c r="E406" t="s">
        <v>18</v>
      </c>
      <c r="F406" s="1">
        <v>45707</v>
      </c>
      <c r="G406" s="1">
        <v>45720</v>
      </c>
      <c r="H406" s="1">
        <v>45722</v>
      </c>
      <c r="I406" s="1">
        <v>45727</v>
      </c>
      <c r="J406" t="s">
        <v>27</v>
      </c>
      <c r="K406">
        <v>134</v>
      </c>
      <c r="L406">
        <v>750.96</v>
      </c>
      <c r="M406">
        <v>100628.64</v>
      </c>
      <c r="N406">
        <v>15</v>
      </c>
      <c r="O406">
        <f>Orders[[#This Row],[Actual_Ship_Date]]-Orders[[#This Row],[Expected_Ship_Date]]</f>
        <v>2</v>
      </c>
    </row>
    <row r="407" spans="1:15" x14ac:dyDescent="0.25">
      <c r="A407" t="s">
        <v>452</v>
      </c>
      <c r="B407" t="s">
        <v>15</v>
      </c>
      <c r="C407" t="s">
        <v>25</v>
      </c>
      <c r="D407" t="s">
        <v>17</v>
      </c>
      <c r="E407" t="s">
        <v>57</v>
      </c>
      <c r="F407" s="1">
        <v>45701</v>
      </c>
      <c r="G407" s="1">
        <v>45708</v>
      </c>
      <c r="H407" s="1">
        <v>45709</v>
      </c>
      <c r="I407" s="1">
        <v>45711</v>
      </c>
      <c r="J407" t="s">
        <v>32</v>
      </c>
      <c r="K407">
        <v>159</v>
      </c>
      <c r="L407">
        <v>599.51</v>
      </c>
      <c r="M407">
        <v>95322.09</v>
      </c>
      <c r="N407">
        <v>8</v>
      </c>
      <c r="O407">
        <f>Orders[[#This Row],[Actual_Ship_Date]]-Orders[[#This Row],[Expected_Ship_Date]]</f>
        <v>1</v>
      </c>
    </row>
    <row r="408" spans="1:15" x14ac:dyDescent="0.25">
      <c r="A408" t="s">
        <v>453</v>
      </c>
      <c r="B408" t="s">
        <v>24</v>
      </c>
      <c r="C408" t="s">
        <v>43</v>
      </c>
      <c r="D408" t="s">
        <v>22</v>
      </c>
      <c r="E408" t="s">
        <v>63</v>
      </c>
      <c r="F408" s="1">
        <v>45749</v>
      </c>
      <c r="G408" s="1">
        <v>45763</v>
      </c>
      <c r="H408" s="1">
        <v>45765</v>
      </c>
      <c r="I408" s="1">
        <v>45767</v>
      </c>
      <c r="J408" t="s">
        <v>27</v>
      </c>
      <c r="K408">
        <v>164</v>
      </c>
      <c r="L408">
        <v>611.51</v>
      </c>
      <c r="M408">
        <v>100287.64</v>
      </c>
      <c r="N408">
        <v>16</v>
      </c>
      <c r="O408">
        <f>Orders[[#This Row],[Actual_Ship_Date]]-Orders[[#This Row],[Expected_Ship_Date]]</f>
        <v>2</v>
      </c>
    </row>
    <row r="409" spans="1:15" x14ac:dyDescent="0.25">
      <c r="A409" t="s">
        <v>454</v>
      </c>
      <c r="B409" t="s">
        <v>53</v>
      </c>
      <c r="C409" t="s">
        <v>21</v>
      </c>
      <c r="D409" t="s">
        <v>17</v>
      </c>
      <c r="E409" t="s">
        <v>57</v>
      </c>
      <c r="F409" s="1">
        <v>45727</v>
      </c>
      <c r="G409" s="1">
        <v>45741</v>
      </c>
      <c r="H409" s="1">
        <v>45744</v>
      </c>
      <c r="I409" s="1">
        <v>45747</v>
      </c>
      <c r="J409" t="s">
        <v>27</v>
      </c>
      <c r="K409">
        <v>199</v>
      </c>
      <c r="L409">
        <v>309.12</v>
      </c>
      <c r="M409">
        <v>61514.879999999997</v>
      </c>
      <c r="N409">
        <v>17</v>
      </c>
      <c r="O409">
        <f>Orders[[#This Row],[Actual_Ship_Date]]-Orders[[#This Row],[Expected_Ship_Date]]</f>
        <v>3</v>
      </c>
    </row>
    <row r="410" spans="1:15" x14ac:dyDescent="0.25">
      <c r="A410" t="s">
        <v>455</v>
      </c>
      <c r="B410" t="s">
        <v>29</v>
      </c>
      <c r="C410" t="s">
        <v>51</v>
      </c>
      <c r="D410" t="s">
        <v>22</v>
      </c>
      <c r="E410" t="s">
        <v>57</v>
      </c>
      <c r="F410" s="1">
        <v>45770</v>
      </c>
      <c r="G410" s="1">
        <v>45779</v>
      </c>
      <c r="H410" s="1">
        <v>45784</v>
      </c>
      <c r="I410" s="1">
        <v>45785</v>
      </c>
      <c r="J410" t="s">
        <v>27</v>
      </c>
      <c r="K410">
        <v>11</v>
      </c>
      <c r="L410">
        <v>333.03</v>
      </c>
      <c r="M410">
        <v>3663.33</v>
      </c>
      <c r="N410">
        <v>14</v>
      </c>
      <c r="O410">
        <f>Orders[[#This Row],[Actual_Ship_Date]]-Orders[[#This Row],[Expected_Ship_Date]]</f>
        <v>5</v>
      </c>
    </row>
    <row r="411" spans="1:15" x14ac:dyDescent="0.25">
      <c r="A411" t="s">
        <v>456</v>
      </c>
      <c r="B411" t="s">
        <v>56</v>
      </c>
      <c r="C411" t="s">
        <v>34</v>
      </c>
      <c r="D411" t="s">
        <v>17</v>
      </c>
      <c r="E411" t="s">
        <v>31</v>
      </c>
      <c r="F411" s="1">
        <v>45754</v>
      </c>
      <c r="G411" s="1">
        <v>45769</v>
      </c>
      <c r="H411" s="1">
        <v>45769</v>
      </c>
      <c r="I411" s="1">
        <v>45772</v>
      </c>
      <c r="J411" t="s">
        <v>32</v>
      </c>
      <c r="K411">
        <v>20</v>
      </c>
      <c r="L411">
        <v>591.65</v>
      </c>
      <c r="M411">
        <v>11833</v>
      </c>
      <c r="N411">
        <v>15</v>
      </c>
      <c r="O411">
        <f>Orders[[#This Row],[Actual_Ship_Date]]-Orders[[#This Row],[Expected_Ship_Date]]</f>
        <v>0</v>
      </c>
    </row>
    <row r="412" spans="1:15" x14ac:dyDescent="0.25">
      <c r="A412" t="s">
        <v>457</v>
      </c>
      <c r="B412" t="s">
        <v>15</v>
      </c>
      <c r="C412" t="s">
        <v>25</v>
      </c>
      <c r="D412" t="s">
        <v>35</v>
      </c>
      <c r="E412" t="s">
        <v>18</v>
      </c>
      <c r="F412" s="1">
        <v>45703</v>
      </c>
      <c r="G412" s="1">
        <v>45713</v>
      </c>
      <c r="H412" s="1">
        <v>45713</v>
      </c>
      <c r="I412" s="1">
        <v>45718</v>
      </c>
      <c r="J412" t="s">
        <v>19</v>
      </c>
      <c r="K412">
        <v>148</v>
      </c>
      <c r="L412">
        <v>339.72</v>
      </c>
      <c r="M412">
        <v>50278.559999999998</v>
      </c>
      <c r="N412">
        <v>10</v>
      </c>
      <c r="O412">
        <f>Orders[[#This Row],[Actual_Ship_Date]]-Orders[[#This Row],[Expected_Ship_Date]]</f>
        <v>0</v>
      </c>
    </row>
    <row r="413" spans="1:15" x14ac:dyDescent="0.25">
      <c r="A413" t="s">
        <v>458</v>
      </c>
      <c r="B413" t="s">
        <v>56</v>
      </c>
      <c r="C413" t="s">
        <v>34</v>
      </c>
      <c r="D413" t="s">
        <v>17</v>
      </c>
      <c r="E413" t="s">
        <v>18</v>
      </c>
      <c r="F413" s="1">
        <v>45707</v>
      </c>
      <c r="G413" s="1">
        <v>45716</v>
      </c>
      <c r="H413" s="1">
        <v>45721</v>
      </c>
      <c r="I413" s="1">
        <v>45724</v>
      </c>
      <c r="J413" t="s">
        <v>27</v>
      </c>
      <c r="K413">
        <v>18</v>
      </c>
      <c r="L413">
        <v>25.83</v>
      </c>
      <c r="M413">
        <v>464.94</v>
      </c>
      <c r="N413">
        <v>14</v>
      </c>
      <c r="O413">
        <f>Orders[[#This Row],[Actual_Ship_Date]]-Orders[[#This Row],[Expected_Ship_Date]]</f>
        <v>5</v>
      </c>
    </row>
    <row r="414" spans="1:15" x14ac:dyDescent="0.25">
      <c r="A414" t="s">
        <v>459</v>
      </c>
      <c r="B414" t="s">
        <v>45</v>
      </c>
      <c r="C414" t="s">
        <v>34</v>
      </c>
      <c r="D414" t="s">
        <v>59</v>
      </c>
      <c r="E414" t="s">
        <v>18</v>
      </c>
      <c r="F414" s="1">
        <v>45764</v>
      </c>
      <c r="G414" s="1">
        <v>45770</v>
      </c>
      <c r="H414" s="1">
        <v>45773</v>
      </c>
      <c r="I414" s="1">
        <v>45776</v>
      </c>
      <c r="J414" t="s">
        <v>27</v>
      </c>
      <c r="K414">
        <v>144</v>
      </c>
      <c r="L414">
        <v>631.61</v>
      </c>
      <c r="M414">
        <v>90951.84</v>
      </c>
      <c r="N414">
        <v>9</v>
      </c>
      <c r="O414">
        <f>Orders[[#This Row],[Actual_Ship_Date]]-Orders[[#This Row],[Expected_Ship_Date]]</f>
        <v>3</v>
      </c>
    </row>
    <row r="415" spans="1:15" x14ac:dyDescent="0.25">
      <c r="A415" t="s">
        <v>460</v>
      </c>
      <c r="B415" t="s">
        <v>38</v>
      </c>
      <c r="C415" t="s">
        <v>25</v>
      </c>
      <c r="D415" t="s">
        <v>17</v>
      </c>
      <c r="E415" t="s">
        <v>57</v>
      </c>
      <c r="F415" s="1">
        <v>45680</v>
      </c>
      <c r="G415" s="1">
        <v>45693</v>
      </c>
      <c r="H415" s="1">
        <v>45693</v>
      </c>
      <c r="I415" s="1">
        <v>45695</v>
      </c>
      <c r="J415" t="s">
        <v>19</v>
      </c>
      <c r="K415">
        <v>35</v>
      </c>
      <c r="L415">
        <v>329.96</v>
      </c>
      <c r="M415">
        <v>11548.6</v>
      </c>
      <c r="N415">
        <v>13</v>
      </c>
      <c r="O415">
        <f>Orders[[#This Row],[Actual_Ship_Date]]-Orders[[#This Row],[Expected_Ship_Date]]</f>
        <v>0</v>
      </c>
    </row>
    <row r="416" spans="1:15" x14ac:dyDescent="0.25">
      <c r="A416" t="s">
        <v>461</v>
      </c>
      <c r="B416" t="s">
        <v>78</v>
      </c>
      <c r="C416" t="s">
        <v>51</v>
      </c>
      <c r="D416" t="s">
        <v>22</v>
      </c>
      <c r="E416" t="s">
        <v>57</v>
      </c>
      <c r="F416" s="1">
        <v>45674</v>
      </c>
      <c r="G416" s="1">
        <v>45679</v>
      </c>
      <c r="H416" s="1">
        <v>45681</v>
      </c>
      <c r="I416" s="1">
        <v>45684</v>
      </c>
      <c r="J416" t="s">
        <v>32</v>
      </c>
      <c r="K416">
        <v>124</v>
      </c>
      <c r="L416">
        <v>607.59</v>
      </c>
      <c r="M416">
        <v>75341.16</v>
      </c>
      <c r="N416">
        <v>7</v>
      </c>
      <c r="O416">
        <f>Orders[[#This Row],[Actual_Ship_Date]]-Orders[[#This Row],[Expected_Ship_Date]]</f>
        <v>2</v>
      </c>
    </row>
    <row r="417" spans="1:15" x14ac:dyDescent="0.25">
      <c r="A417" t="s">
        <v>462</v>
      </c>
      <c r="B417" t="s">
        <v>48</v>
      </c>
      <c r="C417" t="s">
        <v>46</v>
      </c>
      <c r="D417" t="s">
        <v>35</v>
      </c>
      <c r="E417" t="s">
        <v>40</v>
      </c>
      <c r="F417" s="1">
        <v>45734</v>
      </c>
      <c r="G417" s="1">
        <v>45737</v>
      </c>
      <c r="H417" s="1">
        <v>45742</v>
      </c>
      <c r="I417" s="1">
        <v>45747</v>
      </c>
      <c r="J417" t="s">
        <v>27</v>
      </c>
      <c r="K417">
        <v>82</v>
      </c>
      <c r="L417">
        <v>424.61</v>
      </c>
      <c r="M417">
        <v>34818.019999999997</v>
      </c>
      <c r="N417">
        <v>8</v>
      </c>
      <c r="O417">
        <f>Orders[[#This Row],[Actual_Ship_Date]]-Orders[[#This Row],[Expected_Ship_Date]]</f>
        <v>5</v>
      </c>
    </row>
    <row r="418" spans="1:15" x14ac:dyDescent="0.25">
      <c r="A418" t="s">
        <v>463</v>
      </c>
      <c r="B418" t="s">
        <v>15</v>
      </c>
      <c r="C418" t="s">
        <v>21</v>
      </c>
      <c r="D418" t="s">
        <v>35</v>
      </c>
      <c r="E418" t="s">
        <v>57</v>
      </c>
      <c r="F418" s="1">
        <v>45698</v>
      </c>
      <c r="G418" s="1">
        <v>45709</v>
      </c>
      <c r="H418" s="1">
        <v>45709</v>
      </c>
      <c r="I418" s="1">
        <v>45711</v>
      </c>
      <c r="J418" t="s">
        <v>19</v>
      </c>
      <c r="K418">
        <v>45</v>
      </c>
      <c r="L418">
        <v>362.3</v>
      </c>
      <c r="M418">
        <v>16303.5</v>
      </c>
      <c r="N418">
        <v>11</v>
      </c>
      <c r="O418">
        <f>Orders[[#This Row],[Actual_Ship_Date]]-Orders[[#This Row],[Expected_Ship_Date]]</f>
        <v>0</v>
      </c>
    </row>
    <row r="419" spans="1:15" x14ac:dyDescent="0.25">
      <c r="A419" t="s">
        <v>464</v>
      </c>
      <c r="B419" t="s">
        <v>48</v>
      </c>
      <c r="C419" t="s">
        <v>30</v>
      </c>
      <c r="D419" t="s">
        <v>17</v>
      </c>
      <c r="E419" t="s">
        <v>40</v>
      </c>
      <c r="F419" s="1">
        <v>45686</v>
      </c>
      <c r="G419" s="1">
        <v>45692</v>
      </c>
      <c r="H419" s="1">
        <v>45695</v>
      </c>
      <c r="I419" s="1">
        <v>45698</v>
      </c>
      <c r="J419" t="s">
        <v>27</v>
      </c>
      <c r="K419">
        <v>80</v>
      </c>
      <c r="L419">
        <v>197.4</v>
      </c>
      <c r="M419">
        <v>15792</v>
      </c>
      <c r="N419">
        <v>9</v>
      </c>
      <c r="O419">
        <f>Orders[[#This Row],[Actual_Ship_Date]]-Orders[[#This Row],[Expected_Ship_Date]]</f>
        <v>3</v>
      </c>
    </row>
    <row r="420" spans="1:15" x14ac:dyDescent="0.25">
      <c r="A420" t="s">
        <v>465</v>
      </c>
      <c r="B420" t="s">
        <v>48</v>
      </c>
      <c r="C420" t="s">
        <v>34</v>
      </c>
      <c r="D420" t="s">
        <v>35</v>
      </c>
      <c r="E420" t="s">
        <v>40</v>
      </c>
      <c r="F420" s="1">
        <v>45659</v>
      </c>
      <c r="G420" s="1">
        <v>45663</v>
      </c>
      <c r="H420" s="1">
        <v>45666</v>
      </c>
      <c r="I420" s="1">
        <v>45669</v>
      </c>
      <c r="J420" t="s">
        <v>27</v>
      </c>
      <c r="K420">
        <v>169</v>
      </c>
      <c r="L420">
        <v>527.44000000000005</v>
      </c>
      <c r="M420">
        <v>89137.36</v>
      </c>
      <c r="N420">
        <v>7</v>
      </c>
      <c r="O420">
        <f>Orders[[#This Row],[Actual_Ship_Date]]-Orders[[#This Row],[Expected_Ship_Date]]</f>
        <v>3</v>
      </c>
    </row>
    <row r="421" spans="1:15" x14ac:dyDescent="0.25">
      <c r="A421" t="s">
        <v>466</v>
      </c>
      <c r="B421" t="s">
        <v>29</v>
      </c>
      <c r="C421" t="s">
        <v>46</v>
      </c>
      <c r="D421" t="s">
        <v>17</v>
      </c>
      <c r="E421" t="s">
        <v>63</v>
      </c>
      <c r="F421" s="1">
        <v>45771</v>
      </c>
      <c r="G421" s="1">
        <v>45779</v>
      </c>
      <c r="H421" s="1">
        <v>45780</v>
      </c>
      <c r="I421" s="1">
        <v>45781</v>
      </c>
      <c r="J421" t="s">
        <v>27</v>
      </c>
      <c r="K421">
        <v>143</v>
      </c>
      <c r="L421">
        <v>619.52</v>
      </c>
      <c r="M421">
        <v>88591.360000000001</v>
      </c>
      <c r="N421">
        <v>9</v>
      </c>
      <c r="O421">
        <f>Orders[[#This Row],[Actual_Ship_Date]]-Orders[[#This Row],[Expected_Ship_Date]]</f>
        <v>1</v>
      </c>
    </row>
    <row r="422" spans="1:15" x14ac:dyDescent="0.25">
      <c r="A422" t="s">
        <v>467</v>
      </c>
      <c r="B422" t="s">
        <v>78</v>
      </c>
      <c r="C422" t="s">
        <v>51</v>
      </c>
      <c r="D422" t="s">
        <v>35</v>
      </c>
      <c r="E422" t="s">
        <v>26</v>
      </c>
      <c r="F422" s="1">
        <v>45715</v>
      </c>
      <c r="G422" s="1">
        <v>45725</v>
      </c>
      <c r="H422" s="1">
        <v>45725</v>
      </c>
      <c r="I422" s="1">
        <v>45728</v>
      </c>
      <c r="J422" t="s">
        <v>19</v>
      </c>
      <c r="K422">
        <v>26</v>
      </c>
      <c r="L422">
        <v>806.76</v>
      </c>
      <c r="M422">
        <v>20975.759999999998</v>
      </c>
      <c r="N422">
        <v>10</v>
      </c>
      <c r="O422">
        <f>Orders[[#This Row],[Actual_Ship_Date]]-Orders[[#This Row],[Expected_Ship_Date]]</f>
        <v>0</v>
      </c>
    </row>
    <row r="423" spans="1:15" x14ac:dyDescent="0.25">
      <c r="A423" t="s">
        <v>468</v>
      </c>
      <c r="B423" t="s">
        <v>45</v>
      </c>
      <c r="C423" t="s">
        <v>21</v>
      </c>
      <c r="D423" t="s">
        <v>35</v>
      </c>
      <c r="E423" t="s">
        <v>40</v>
      </c>
      <c r="F423" s="1">
        <v>45743</v>
      </c>
      <c r="G423" s="1">
        <v>45756</v>
      </c>
      <c r="H423" s="1">
        <v>45761</v>
      </c>
      <c r="I423" s="1">
        <v>45763</v>
      </c>
      <c r="J423" t="s">
        <v>27</v>
      </c>
      <c r="K423">
        <v>113</v>
      </c>
      <c r="L423">
        <v>712.78</v>
      </c>
      <c r="M423">
        <v>80544.14</v>
      </c>
      <c r="N423">
        <v>18</v>
      </c>
      <c r="O423">
        <f>Orders[[#This Row],[Actual_Ship_Date]]-Orders[[#This Row],[Expected_Ship_Date]]</f>
        <v>5</v>
      </c>
    </row>
    <row r="424" spans="1:15" x14ac:dyDescent="0.25">
      <c r="A424" t="s">
        <v>469</v>
      </c>
      <c r="B424" t="s">
        <v>56</v>
      </c>
      <c r="C424" t="s">
        <v>16</v>
      </c>
      <c r="D424" t="s">
        <v>17</v>
      </c>
      <c r="E424" t="s">
        <v>26</v>
      </c>
      <c r="F424" s="1">
        <v>45745</v>
      </c>
      <c r="G424" s="1">
        <v>45750</v>
      </c>
      <c r="H424" s="1">
        <v>45750</v>
      </c>
      <c r="I424" s="1">
        <v>45754</v>
      </c>
      <c r="J424" t="s">
        <v>32</v>
      </c>
      <c r="K424">
        <v>23</v>
      </c>
      <c r="L424">
        <v>60.31</v>
      </c>
      <c r="M424">
        <v>1387.13</v>
      </c>
      <c r="N424">
        <v>5</v>
      </c>
      <c r="O424">
        <f>Orders[[#This Row],[Actual_Ship_Date]]-Orders[[#This Row],[Expected_Ship_Date]]</f>
        <v>0</v>
      </c>
    </row>
    <row r="425" spans="1:15" x14ac:dyDescent="0.25">
      <c r="A425" t="s">
        <v>470</v>
      </c>
      <c r="B425" t="s">
        <v>29</v>
      </c>
      <c r="C425" t="s">
        <v>21</v>
      </c>
      <c r="D425" t="s">
        <v>35</v>
      </c>
      <c r="E425" t="s">
        <v>63</v>
      </c>
      <c r="F425" s="1">
        <v>45774</v>
      </c>
      <c r="G425" s="1">
        <v>45781</v>
      </c>
      <c r="H425" s="1">
        <v>45782</v>
      </c>
      <c r="I425" s="1">
        <v>45786</v>
      </c>
      <c r="J425" t="s">
        <v>27</v>
      </c>
      <c r="K425">
        <v>108</v>
      </c>
      <c r="L425">
        <v>376.58</v>
      </c>
      <c r="M425">
        <v>40670.639999999999</v>
      </c>
      <c r="N425">
        <v>8</v>
      </c>
      <c r="O425">
        <f>Orders[[#This Row],[Actual_Ship_Date]]-Orders[[#This Row],[Expected_Ship_Date]]</f>
        <v>1</v>
      </c>
    </row>
    <row r="426" spans="1:15" x14ac:dyDescent="0.25">
      <c r="A426" t="s">
        <v>471</v>
      </c>
      <c r="B426" t="s">
        <v>42</v>
      </c>
      <c r="C426" t="s">
        <v>46</v>
      </c>
      <c r="D426" t="s">
        <v>17</v>
      </c>
      <c r="E426" t="s">
        <v>31</v>
      </c>
      <c r="F426" s="1">
        <v>45658</v>
      </c>
      <c r="G426" s="1">
        <v>45671</v>
      </c>
      <c r="H426" s="1">
        <v>45674</v>
      </c>
      <c r="I426" s="1">
        <v>45679</v>
      </c>
      <c r="J426" t="s">
        <v>32</v>
      </c>
      <c r="K426">
        <v>195</v>
      </c>
      <c r="L426">
        <v>503.98</v>
      </c>
      <c r="M426">
        <v>98276.1</v>
      </c>
      <c r="N426">
        <v>16</v>
      </c>
      <c r="O426">
        <f>Orders[[#This Row],[Actual_Ship_Date]]-Orders[[#This Row],[Expected_Ship_Date]]</f>
        <v>3</v>
      </c>
    </row>
    <row r="427" spans="1:15" x14ac:dyDescent="0.25">
      <c r="A427" t="s">
        <v>472</v>
      </c>
      <c r="B427" t="s">
        <v>53</v>
      </c>
      <c r="C427" t="s">
        <v>21</v>
      </c>
      <c r="D427" t="s">
        <v>39</v>
      </c>
      <c r="E427" t="s">
        <v>40</v>
      </c>
      <c r="F427" s="1">
        <v>45695</v>
      </c>
      <c r="G427" s="1">
        <v>45710</v>
      </c>
      <c r="H427" s="1">
        <v>45713</v>
      </c>
      <c r="I427" s="1">
        <v>45716</v>
      </c>
      <c r="J427" t="s">
        <v>27</v>
      </c>
      <c r="K427">
        <v>77</v>
      </c>
      <c r="L427">
        <v>654</v>
      </c>
      <c r="M427">
        <v>50358</v>
      </c>
      <c r="N427">
        <v>18</v>
      </c>
      <c r="O427">
        <f>Orders[[#This Row],[Actual_Ship_Date]]-Orders[[#This Row],[Expected_Ship_Date]]</f>
        <v>3</v>
      </c>
    </row>
    <row r="428" spans="1:15" x14ac:dyDescent="0.25">
      <c r="A428" t="s">
        <v>473</v>
      </c>
      <c r="B428" t="s">
        <v>15</v>
      </c>
      <c r="C428" t="s">
        <v>25</v>
      </c>
      <c r="D428" t="s">
        <v>22</v>
      </c>
      <c r="E428" t="s">
        <v>57</v>
      </c>
      <c r="F428" s="1">
        <v>45661</v>
      </c>
      <c r="G428" s="1">
        <v>45671</v>
      </c>
      <c r="H428" s="1">
        <v>45671</v>
      </c>
      <c r="I428" s="1">
        <v>45676</v>
      </c>
      <c r="J428" t="s">
        <v>32</v>
      </c>
      <c r="K428">
        <v>105</v>
      </c>
      <c r="L428">
        <v>680.3</v>
      </c>
      <c r="M428">
        <v>71431.5</v>
      </c>
      <c r="N428">
        <v>10</v>
      </c>
      <c r="O428">
        <f>Orders[[#This Row],[Actual_Ship_Date]]-Orders[[#This Row],[Expected_Ship_Date]]</f>
        <v>0</v>
      </c>
    </row>
    <row r="429" spans="1:15" x14ac:dyDescent="0.25">
      <c r="A429" t="s">
        <v>474</v>
      </c>
      <c r="B429" t="s">
        <v>15</v>
      </c>
      <c r="C429" t="s">
        <v>43</v>
      </c>
      <c r="D429" t="s">
        <v>35</v>
      </c>
      <c r="E429" t="s">
        <v>31</v>
      </c>
      <c r="F429" s="1">
        <v>45744</v>
      </c>
      <c r="G429" s="1">
        <v>45759</v>
      </c>
      <c r="H429" s="1">
        <v>45764</v>
      </c>
      <c r="I429" s="1">
        <v>45767</v>
      </c>
      <c r="J429" t="s">
        <v>27</v>
      </c>
      <c r="K429">
        <v>7</v>
      </c>
      <c r="L429">
        <v>477.19</v>
      </c>
      <c r="M429">
        <v>3340.33</v>
      </c>
      <c r="N429">
        <v>20</v>
      </c>
      <c r="O429">
        <f>Orders[[#This Row],[Actual_Ship_Date]]-Orders[[#This Row],[Expected_Ship_Date]]</f>
        <v>5</v>
      </c>
    </row>
    <row r="430" spans="1:15" x14ac:dyDescent="0.25">
      <c r="A430" t="s">
        <v>475</v>
      </c>
      <c r="B430" t="s">
        <v>24</v>
      </c>
      <c r="C430" t="s">
        <v>34</v>
      </c>
      <c r="D430" t="s">
        <v>39</v>
      </c>
      <c r="E430" t="s">
        <v>40</v>
      </c>
      <c r="F430" s="1">
        <v>45658</v>
      </c>
      <c r="G430" s="1">
        <v>45670</v>
      </c>
      <c r="H430" s="1">
        <v>45672</v>
      </c>
      <c r="I430" s="1">
        <v>45676</v>
      </c>
      <c r="J430" t="s">
        <v>27</v>
      </c>
      <c r="K430">
        <v>26</v>
      </c>
      <c r="L430">
        <v>269.42</v>
      </c>
      <c r="M430">
        <v>7004.92</v>
      </c>
      <c r="N430">
        <v>14</v>
      </c>
      <c r="O430">
        <f>Orders[[#This Row],[Actual_Ship_Date]]-Orders[[#This Row],[Expected_Ship_Date]]</f>
        <v>2</v>
      </c>
    </row>
    <row r="431" spans="1:15" x14ac:dyDescent="0.25">
      <c r="A431" t="s">
        <v>476</v>
      </c>
      <c r="B431" t="s">
        <v>78</v>
      </c>
      <c r="C431" t="s">
        <v>51</v>
      </c>
      <c r="D431" t="s">
        <v>17</v>
      </c>
      <c r="E431" t="s">
        <v>18</v>
      </c>
      <c r="F431" s="1">
        <v>45766</v>
      </c>
      <c r="G431" s="1">
        <v>45777</v>
      </c>
      <c r="H431" s="1">
        <v>45777</v>
      </c>
      <c r="I431" s="1">
        <v>45779</v>
      </c>
      <c r="J431" t="s">
        <v>19</v>
      </c>
      <c r="K431">
        <v>69</v>
      </c>
      <c r="L431">
        <v>177.26</v>
      </c>
      <c r="M431">
        <v>12230.94</v>
      </c>
      <c r="N431">
        <v>11</v>
      </c>
      <c r="O431">
        <f>Orders[[#This Row],[Actual_Ship_Date]]-Orders[[#This Row],[Expected_Ship_Date]]</f>
        <v>0</v>
      </c>
    </row>
    <row r="432" spans="1:15" x14ac:dyDescent="0.25">
      <c r="A432" t="s">
        <v>477</v>
      </c>
      <c r="B432" t="s">
        <v>53</v>
      </c>
      <c r="C432" t="s">
        <v>46</v>
      </c>
      <c r="D432" t="s">
        <v>59</v>
      </c>
      <c r="E432" t="s">
        <v>26</v>
      </c>
      <c r="F432" s="1">
        <v>45740</v>
      </c>
      <c r="G432" s="1">
        <v>45751</v>
      </c>
      <c r="H432" s="1">
        <v>45751</v>
      </c>
      <c r="I432" s="1">
        <v>45754</v>
      </c>
      <c r="J432" t="s">
        <v>19</v>
      </c>
      <c r="K432">
        <v>55</v>
      </c>
      <c r="L432">
        <v>620.87</v>
      </c>
      <c r="M432">
        <v>34147.85</v>
      </c>
      <c r="N432">
        <v>11</v>
      </c>
      <c r="O432">
        <f>Orders[[#This Row],[Actual_Ship_Date]]-Orders[[#This Row],[Expected_Ship_Date]]</f>
        <v>0</v>
      </c>
    </row>
    <row r="433" spans="1:15" x14ac:dyDescent="0.25">
      <c r="A433" t="s">
        <v>478</v>
      </c>
      <c r="B433" t="s">
        <v>53</v>
      </c>
      <c r="C433" t="s">
        <v>46</v>
      </c>
      <c r="D433" t="s">
        <v>17</v>
      </c>
      <c r="E433" t="s">
        <v>40</v>
      </c>
      <c r="F433" s="1">
        <v>45743</v>
      </c>
      <c r="G433" s="1">
        <v>45756</v>
      </c>
      <c r="H433" s="1">
        <v>45756</v>
      </c>
      <c r="I433" s="1">
        <v>45757</v>
      </c>
      <c r="J433" t="s">
        <v>36</v>
      </c>
      <c r="K433">
        <v>54</v>
      </c>
      <c r="L433">
        <v>280.35000000000002</v>
      </c>
      <c r="M433">
        <v>15138.9</v>
      </c>
      <c r="N433">
        <v>13</v>
      </c>
      <c r="O433">
        <f>Orders[[#This Row],[Actual_Ship_Date]]-Orders[[#This Row],[Expected_Ship_Date]]</f>
        <v>0</v>
      </c>
    </row>
    <row r="434" spans="1:15" x14ac:dyDescent="0.25">
      <c r="A434" t="s">
        <v>479</v>
      </c>
      <c r="B434" t="s">
        <v>38</v>
      </c>
      <c r="C434" t="s">
        <v>43</v>
      </c>
      <c r="D434" t="s">
        <v>35</v>
      </c>
      <c r="E434" t="s">
        <v>57</v>
      </c>
      <c r="F434" s="1">
        <v>45697</v>
      </c>
      <c r="G434" s="1">
        <v>45711</v>
      </c>
      <c r="H434" s="1">
        <v>45713</v>
      </c>
      <c r="I434" s="1">
        <v>45715</v>
      </c>
      <c r="J434" t="s">
        <v>27</v>
      </c>
      <c r="K434">
        <v>98</v>
      </c>
      <c r="L434">
        <v>689.43</v>
      </c>
      <c r="M434">
        <v>67564.14</v>
      </c>
      <c r="N434">
        <v>16</v>
      </c>
      <c r="O434">
        <f>Orders[[#This Row],[Actual_Ship_Date]]-Orders[[#This Row],[Expected_Ship_Date]]</f>
        <v>2</v>
      </c>
    </row>
    <row r="435" spans="1:15" x14ac:dyDescent="0.25">
      <c r="A435" t="s">
        <v>480</v>
      </c>
      <c r="B435" t="s">
        <v>24</v>
      </c>
      <c r="C435" t="s">
        <v>30</v>
      </c>
      <c r="D435" t="s">
        <v>39</v>
      </c>
      <c r="E435" t="s">
        <v>18</v>
      </c>
      <c r="F435" s="1">
        <v>45689</v>
      </c>
      <c r="G435" s="1">
        <v>45704</v>
      </c>
      <c r="H435" s="1">
        <v>45704</v>
      </c>
      <c r="I435" s="1">
        <v>45708</v>
      </c>
      <c r="J435" t="s">
        <v>36</v>
      </c>
      <c r="K435">
        <v>39</v>
      </c>
      <c r="L435">
        <v>582.45000000000005</v>
      </c>
      <c r="M435">
        <v>22715.55</v>
      </c>
      <c r="N435">
        <v>15</v>
      </c>
      <c r="O435">
        <f>Orders[[#This Row],[Actual_Ship_Date]]-Orders[[#This Row],[Expected_Ship_Date]]</f>
        <v>0</v>
      </c>
    </row>
    <row r="436" spans="1:15" x14ac:dyDescent="0.25">
      <c r="A436" t="s">
        <v>481</v>
      </c>
      <c r="B436" t="s">
        <v>56</v>
      </c>
      <c r="C436" t="s">
        <v>43</v>
      </c>
      <c r="D436" t="s">
        <v>17</v>
      </c>
      <c r="E436" t="s">
        <v>26</v>
      </c>
      <c r="F436" s="1">
        <v>45703</v>
      </c>
      <c r="G436" s="1">
        <v>45718</v>
      </c>
      <c r="H436" s="1">
        <v>45718</v>
      </c>
      <c r="I436" s="1">
        <v>45722</v>
      </c>
      <c r="J436" t="s">
        <v>32</v>
      </c>
      <c r="K436">
        <v>160</v>
      </c>
      <c r="L436">
        <v>83.45</v>
      </c>
      <c r="M436">
        <v>13352</v>
      </c>
      <c r="N436">
        <v>15</v>
      </c>
      <c r="O436">
        <f>Orders[[#This Row],[Actual_Ship_Date]]-Orders[[#This Row],[Expected_Ship_Date]]</f>
        <v>0</v>
      </c>
    </row>
    <row r="437" spans="1:15" x14ac:dyDescent="0.25">
      <c r="A437" t="s">
        <v>482</v>
      </c>
      <c r="B437" t="s">
        <v>29</v>
      </c>
      <c r="C437" t="s">
        <v>21</v>
      </c>
      <c r="D437" t="s">
        <v>17</v>
      </c>
      <c r="E437" t="s">
        <v>26</v>
      </c>
      <c r="F437" s="1">
        <v>45691</v>
      </c>
      <c r="G437" s="1">
        <v>45705</v>
      </c>
      <c r="H437" s="1">
        <v>45708</v>
      </c>
      <c r="I437" s="1">
        <v>45709</v>
      </c>
      <c r="J437" t="s">
        <v>27</v>
      </c>
      <c r="K437">
        <v>9</v>
      </c>
      <c r="L437">
        <v>724.41</v>
      </c>
      <c r="M437">
        <v>6519.69</v>
      </c>
      <c r="N437">
        <v>17</v>
      </c>
      <c r="O437">
        <f>Orders[[#This Row],[Actual_Ship_Date]]-Orders[[#This Row],[Expected_Ship_Date]]</f>
        <v>3</v>
      </c>
    </row>
    <row r="438" spans="1:15" x14ac:dyDescent="0.25">
      <c r="A438" t="s">
        <v>483</v>
      </c>
      <c r="B438" t="s">
        <v>78</v>
      </c>
      <c r="C438" t="s">
        <v>46</v>
      </c>
      <c r="D438" t="s">
        <v>39</v>
      </c>
      <c r="E438" t="s">
        <v>26</v>
      </c>
      <c r="F438" s="1">
        <v>45774</v>
      </c>
      <c r="G438" s="1">
        <v>45777</v>
      </c>
      <c r="H438" s="1">
        <v>45779</v>
      </c>
      <c r="I438" s="1">
        <v>45782</v>
      </c>
      <c r="J438" t="s">
        <v>27</v>
      </c>
      <c r="K438">
        <v>143</v>
      </c>
      <c r="L438">
        <v>409.21</v>
      </c>
      <c r="M438">
        <v>58517.03</v>
      </c>
      <c r="N438">
        <v>5</v>
      </c>
      <c r="O438">
        <f>Orders[[#This Row],[Actual_Ship_Date]]-Orders[[#This Row],[Expected_Ship_Date]]</f>
        <v>2</v>
      </c>
    </row>
    <row r="439" spans="1:15" x14ac:dyDescent="0.25">
      <c r="A439" t="s">
        <v>484</v>
      </c>
      <c r="B439" t="s">
        <v>38</v>
      </c>
      <c r="C439" t="s">
        <v>46</v>
      </c>
      <c r="D439" t="s">
        <v>17</v>
      </c>
      <c r="E439" t="s">
        <v>31</v>
      </c>
      <c r="F439" s="1">
        <v>45772</v>
      </c>
      <c r="G439" s="1">
        <v>45787</v>
      </c>
      <c r="H439" s="1">
        <v>45789</v>
      </c>
      <c r="I439" s="1">
        <v>45792</v>
      </c>
      <c r="J439" t="s">
        <v>32</v>
      </c>
      <c r="K439">
        <v>133</v>
      </c>
      <c r="L439">
        <v>441.19</v>
      </c>
      <c r="M439">
        <v>58678.27</v>
      </c>
      <c r="N439">
        <v>17</v>
      </c>
      <c r="O439">
        <f>Orders[[#This Row],[Actual_Ship_Date]]-Orders[[#This Row],[Expected_Ship_Date]]</f>
        <v>2</v>
      </c>
    </row>
    <row r="440" spans="1:15" x14ac:dyDescent="0.25">
      <c r="A440" t="s">
        <v>485</v>
      </c>
      <c r="B440" t="s">
        <v>53</v>
      </c>
      <c r="C440" t="s">
        <v>43</v>
      </c>
      <c r="D440" t="s">
        <v>22</v>
      </c>
      <c r="E440" t="s">
        <v>63</v>
      </c>
      <c r="F440" s="1">
        <v>45742</v>
      </c>
      <c r="G440" s="1">
        <v>45748</v>
      </c>
      <c r="H440" s="1">
        <v>45753</v>
      </c>
      <c r="I440" s="1">
        <v>45758</v>
      </c>
      <c r="J440" t="s">
        <v>27</v>
      </c>
      <c r="K440">
        <v>198</v>
      </c>
      <c r="L440">
        <v>444.3</v>
      </c>
      <c r="M440">
        <v>87971.4</v>
      </c>
      <c r="N440">
        <v>11</v>
      </c>
      <c r="O440">
        <f>Orders[[#This Row],[Actual_Ship_Date]]-Orders[[#This Row],[Expected_Ship_Date]]</f>
        <v>5</v>
      </c>
    </row>
    <row r="441" spans="1:15" x14ac:dyDescent="0.25">
      <c r="A441" t="s">
        <v>486</v>
      </c>
      <c r="B441" t="s">
        <v>29</v>
      </c>
      <c r="C441" t="s">
        <v>34</v>
      </c>
      <c r="D441" t="s">
        <v>39</v>
      </c>
      <c r="E441" t="s">
        <v>26</v>
      </c>
      <c r="F441" s="1">
        <v>45730</v>
      </c>
      <c r="G441" s="1">
        <v>45743</v>
      </c>
      <c r="H441" s="1">
        <v>45748</v>
      </c>
      <c r="I441" s="1">
        <v>45750</v>
      </c>
      <c r="J441" t="s">
        <v>27</v>
      </c>
      <c r="K441">
        <v>128</v>
      </c>
      <c r="L441">
        <v>799.21</v>
      </c>
      <c r="M441">
        <v>102298.88</v>
      </c>
      <c r="N441">
        <v>18</v>
      </c>
      <c r="O441">
        <f>Orders[[#This Row],[Actual_Ship_Date]]-Orders[[#This Row],[Expected_Ship_Date]]</f>
        <v>5</v>
      </c>
    </row>
    <row r="442" spans="1:15" x14ac:dyDescent="0.25">
      <c r="A442" t="s">
        <v>487</v>
      </c>
      <c r="B442" t="s">
        <v>24</v>
      </c>
      <c r="C442" t="s">
        <v>21</v>
      </c>
      <c r="D442" t="s">
        <v>39</v>
      </c>
      <c r="E442" t="s">
        <v>18</v>
      </c>
      <c r="F442" s="1">
        <v>45666</v>
      </c>
      <c r="G442" s="1">
        <v>45673</v>
      </c>
      <c r="H442" s="1">
        <v>45673</v>
      </c>
      <c r="I442" s="1">
        <v>45675</v>
      </c>
      <c r="J442" t="s">
        <v>19</v>
      </c>
      <c r="K442">
        <v>137</v>
      </c>
      <c r="L442">
        <v>772.95</v>
      </c>
      <c r="M442">
        <v>105894.15</v>
      </c>
      <c r="N442">
        <v>7</v>
      </c>
      <c r="O442">
        <f>Orders[[#This Row],[Actual_Ship_Date]]-Orders[[#This Row],[Expected_Ship_Date]]</f>
        <v>0</v>
      </c>
    </row>
    <row r="443" spans="1:15" x14ac:dyDescent="0.25">
      <c r="A443" t="s">
        <v>488</v>
      </c>
      <c r="B443" t="s">
        <v>56</v>
      </c>
      <c r="C443" t="s">
        <v>25</v>
      </c>
      <c r="D443" t="s">
        <v>17</v>
      </c>
      <c r="E443" t="s">
        <v>63</v>
      </c>
      <c r="F443" s="1">
        <v>45770</v>
      </c>
      <c r="G443" s="1">
        <v>45773</v>
      </c>
      <c r="H443" s="1">
        <v>45773</v>
      </c>
      <c r="I443" s="1">
        <v>45776</v>
      </c>
      <c r="J443" t="s">
        <v>19</v>
      </c>
      <c r="K443">
        <v>138</v>
      </c>
      <c r="L443">
        <v>544.03</v>
      </c>
      <c r="M443">
        <v>75076.14</v>
      </c>
      <c r="N443">
        <v>3</v>
      </c>
      <c r="O443">
        <f>Orders[[#This Row],[Actual_Ship_Date]]-Orders[[#This Row],[Expected_Ship_Date]]</f>
        <v>0</v>
      </c>
    </row>
    <row r="444" spans="1:15" x14ac:dyDescent="0.25">
      <c r="A444" t="s">
        <v>489</v>
      </c>
      <c r="B444" t="s">
        <v>42</v>
      </c>
      <c r="C444" t="s">
        <v>25</v>
      </c>
      <c r="D444" t="s">
        <v>39</v>
      </c>
      <c r="E444" t="s">
        <v>26</v>
      </c>
      <c r="F444" s="1">
        <v>45730</v>
      </c>
      <c r="G444" s="1">
        <v>45735</v>
      </c>
      <c r="H444" s="1">
        <v>45736</v>
      </c>
      <c r="I444" s="1">
        <v>45740</v>
      </c>
      <c r="J444" t="s">
        <v>27</v>
      </c>
      <c r="K444">
        <v>172</v>
      </c>
      <c r="L444">
        <v>765.02</v>
      </c>
      <c r="M444">
        <v>131583.44</v>
      </c>
      <c r="N444">
        <v>6</v>
      </c>
      <c r="O444">
        <f>Orders[[#This Row],[Actual_Ship_Date]]-Orders[[#This Row],[Expected_Ship_Date]]</f>
        <v>1</v>
      </c>
    </row>
    <row r="445" spans="1:15" x14ac:dyDescent="0.25">
      <c r="A445" t="s">
        <v>490</v>
      </c>
      <c r="B445" t="s">
        <v>78</v>
      </c>
      <c r="C445" t="s">
        <v>30</v>
      </c>
      <c r="D445" t="s">
        <v>22</v>
      </c>
      <c r="E445" t="s">
        <v>26</v>
      </c>
      <c r="F445" s="1">
        <v>45724</v>
      </c>
      <c r="G445" s="1">
        <v>45733</v>
      </c>
      <c r="H445" s="1">
        <v>45733</v>
      </c>
      <c r="I445" s="1">
        <v>45736</v>
      </c>
      <c r="J445" t="s">
        <v>36</v>
      </c>
      <c r="K445">
        <v>159</v>
      </c>
      <c r="L445">
        <v>20.51</v>
      </c>
      <c r="M445">
        <v>3261.09</v>
      </c>
      <c r="N445">
        <v>9</v>
      </c>
      <c r="O445">
        <f>Orders[[#This Row],[Actual_Ship_Date]]-Orders[[#This Row],[Expected_Ship_Date]]</f>
        <v>0</v>
      </c>
    </row>
    <row r="446" spans="1:15" x14ac:dyDescent="0.25">
      <c r="A446" t="s">
        <v>491</v>
      </c>
      <c r="B446" t="s">
        <v>48</v>
      </c>
      <c r="C446" t="s">
        <v>16</v>
      </c>
      <c r="D446" t="s">
        <v>22</v>
      </c>
      <c r="E446" t="s">
        <v>18</v>
      </c>
      <c r="F446" s="1">
        <v>45667</v>
      </c>
      <c r="G446" s="1">
        <v>45678</v>
      </c>
      <c r="H446" s="1">
        <v>45681</v>
      </c>
      <c r="I446" s="1">
        <v>45684</v>
      </c>
      <c r="J446" t="s">
        <v>27</v>
      </c>
      <c r="K446">
        <v>52</v>
      </c>
      <c r="L446">
        <v>146.38999999999999</v>
      </c>
      <c r="M446">
        <v>7612.28</v>
      </c>
      <c r="N446">
        <v>14</v>
      </c>
      <c r="O446">
        <f>Orders[[#This Row],[Actual_Ship_Date]]-Orders[[#This Row],[Expected_Ship_Date]]</f>
        <v>3</v>
      </c>
    </row>
    <row r="447" spans="1:15" x14ac:dyDescent="0.25">
      <c r="A447" t="s">
        <v>492</v>
      </c>
      <c r="B447" t="s">
        <v>48</v>
      </c>
      <c r="C447" t="s">
        <v>43</v>
      </c>
      <c r="D447" t="s">
        <v>39</v>
      </c>
      <c r="E447" t="s">
        <v>31</v>
      </c>
      <c r="F447" s="1">
        <v>45761</v>
      </c>
      <c r="G447" s="1">
        <v>45769</v>
      </c>
      <c r="H447" s="1">
        <v>45772</v>
      </c>
      <c r="I447" s="1">
        <v>45773</v>
      </c>
      <c r="J447" t="s">
        <v>27</v>
      </c>
      <c r="K447">
        <v>127</v>
      </c>
      <c r="L447">
        <v>414.98</v>
      </c>
      <c r="M447">
        <v>52702.46</v>
      </c>
      <c r="N447">
        <v>11</v>
      </c>
      <c r="O447">
        <f>Orders[[#This Row],[Actual_Ship_Date]]-Orders[[#This Row],[Expected_Ship_Date]]</f>
        <v>3</v>
      </c>
    </row>
    <row r="448" spans="1:15" x14ac:dyDescent="0.25">
      <c r="A448" t="s">
        <v>493</v>
      </c>
      <c r="B448" t="s">
        <v>48</v>
      </c>
      <c r="C448" t="s">
        <v>43</v>
      </c>
      <c r="D448" t="s">
        <v>35</v>
      </c>
      <c r="E448" t="s">
        <v>26</v>
      </c>
      <c r="F448" s="1">
        <v>45689</v>
      </c>
      <c r="G448" s="1">
        <v>45692</v>
      </c>
      <c r="H448" s="1">
        <v>45692</v>
      </c>
      <c r="I448" s="1">
        <v>45697</v>
      </c>
      <c r="J448" t="s">
        <v>32</v>
      </c>
      <c r="K448">
        <v>136</v>
      </c>
      <c r="L448">
        <v>47.72</v>
      </c>
      <c r="M448">
        <v>6489.92</v>
      </c>
      <c r="N448">
        <v>3</v>
      </c>
      <c r="O448">
        <f>Orders[[#This Row],[Actual_Ship_Date]]-Orders[[#This Row],[Expected_Ship_Date]]</f>
        <v>0</v>
      </c>
    </row>
    <row r="449" spans="1:15" x14ac:dyDescent="0.25">
      <c r="A449" t="s">
        <v>494</v>
      </c>
      <c r="B449" t="s">
        <v>56</v>
      </c>
      <c r="C449" t="s">
        <v>16</v>
      </c>
      <c r="D449" t="s">
        <v>22</v>
      </c>
      <c r="E449" t="s">
        <v>18</v>
      </c>
      <c r="F449" s="1">
        <v>45691</v>
      </c>
      <c r="G449" s="1">
        <v>45696</v>
      </c>
      <c r="H449" s="1">
        <v>45698</v>
      </c>
      <c r="I449" s="1">
        <v>45702</v>
      </c>
      <c r="J449" t="s">
        <v>27</v>
      </c>
      <c r="K449">
        <v>149</v>
      </c>
      <c r="L449">
        <v>547.41</v>
      </c>
      <c r="M449">
        <v>81564.09</v>
      </c>
      <c r="N449">
        <v>7</v>
      </c>
      <c r="O449">
        <f>Orders[[#This Row],[Actual_Ship_Date]]-Orders[[#This Row],[Expected_Ship_Date]]</f>
        <v>2</v>
      </c>
    </row>
    <row r="450" spans="1:15" x14ac:dyDescent="0.25">
      <c r="A450" t="s">
        <v>495</v>
      </c>
      <c r="B450" t="s">
        <v>48</v>
      </c>
      <c r="C450" t="s">
        <v>43</v>
      </c>
      <c r="D450" t="s">
        <v>17</v>
      </c>
      <c r="E450" t="s">
        <v>40</v>
      </c>
      <c r="F450" s="1">
        <v>45735</v>
      </c>
      <c r="G450" s="1">
        <v>45745</v>
      </c>
      <c r="H450" s="1">
        <v>45750</v>
      </c>
      <c r="I450" s="1">
        <v>45754</v>
      </c>
      <c r="J450" t="s">
        <v>32</v>
      </c>
      <c r="K450">
        <v>110</v>
      </c>
      <c r="L450">
        <v>516.70000000000005</v>
      </c>
      <c r="M450">
        <v>56837</v>
      </c>
      <c r="N450">
        <v>15</v>
      </c>
      <c r="O450">
        <f>Orders[[#This Row],[Actual_Ship_Date]]-Orders[[#This Row],[Expected_Ship_Date]]</f>
        <v>5</v>
      </c>
    </row>
    <row r="451" spans="1:15" x14ac:dyDescent="0.25">
      <c r="A451" t="s">
        <v>496</v>
      </c>
      <c r="B451" t="s">
        <v>38</v>
      </c>
      <c r="C451" t="s">
        <v>43</v>
      </c>
      <c r="D451" t="s">
        <v>35</v>
      </c>
      <c r="E451" t="s">
        <v>31</v>
      </c>
      <c r="F451" s="1">
        <v>45723</v>
      </c>
      <c r="G451" s="1">
        <v>45730</v>
      </c>
      <c r="H451" s="1">
        <v>45730</v>
      </c>
      <c r="I451" s="1">
        <v>45733</v>
      </c>
      <c r="J451" t="s">
        <v>36</v>
      </c>
      <c r="K451">
        <v>22</v>
      </c>
      <c r="L451">
        <v>206.89</v>
      </c>
      <c r="M451">
        <v>4551.58</v>
      </c>
      <c r="N451">
        <v>7</v>
      </c>
      <c r="O451">
        <f>Orders[[#This Row],[Actual_Ship_Date]]-Orders[[#This Row],[Expected_Ship_Date]]</f>
        <v>0</v>
      </c>
    </row>
    <row r="452" spans="1:15" x14ac:dyDescent="0.25">
      <c r="A452" t="s">
        <v>497</v>
      </c>
      <c r="B452" t="s">
        <v>78</v>
      </c>
      <c r="C452" t="s">
        <v>30</v>
      </c>
      <c r="D452" t="s">
        <v>17</v>
      </c>
      <c r="E452" t="s">
        <v>63</v>
      </c>
      <c r="F452" s="1">
        <v>45683</v>
      </c>
      <c r="G452" s="1">
        <v>45694</v>
      </c>
      <c r="H452" s="1">
        <v>45699</v>
      </c>
      <c r="I452" s="1">
        <v>45704</v>
      </c>
      <c r="J452" t="s">
        <v>27</v>
      </c>
      <c r="K452">
        <v>43</v>
      </c>
      <c r="L452">
        <v>520.6</v>
      </c>
      <c r="M452">
        <v>22385.8</v>
      </c>
      <c r="N452">
        <v>16</v>
      </c>
      <c r="O452">
        <f>Orders[[#This Row],[Actual_Ship_Date]]-Orders[[#This Row],[Expected_Ship_Date]]</f>
        <v>5</v>
      </c>
    </row>
    <row r="453" spans="1:15" x14ac:dyDescent="0.25">
      <c r="A453" t="s">
        <v>498</v>
      </c>
      <c r="B453" t="s">
        <v>78</v>
      </c>
      <c r="C453" t="s">
        <v>51</v>
      </c>
      <c r="D453" t="s">
        <v>39</v>
      </c>
      <c r="E453" t="s">
        <v>63</v>
      </c>
      <c r="F453" s="1">
        <v>45662</v>
      </c>
      <c r="G453" s="1">
        <v>45677</v>
      </c>
      <c r="H453" s="1">
        <v>45679</v>
      </c>
      <c r="I453" s="1">
        <v>45684</v>
      </c>
      <c r="J453" t="s">
        <v>27</v>
      </c>
      <c r="K453">
        <v>28</v>
      </c>
      <c r="L453">
        <v>417.67</v>
      </c>
      <c r="M453">
        <v>11694.76</v>
      </c>
      <c r="N453">
        <v>17</v>
      </c>
      <c r="O453">
        <f>Orders[[#This Row],[Actual_Ship_Date]]-Orders[[#This Row],[Expected_Ship_Date]]</f>
        <v>2</v>
      </c>
    </row>
    <row r="454" spans="1:15" x14ac:dyDescent="0.25">
      <c r="A454" t="s">
        <v>499</v>
      </c>
      <c r="B454" t="s">
        <v>53</v>
      </c>
      <c r="C454" t="s">
        <v>21</v>
      </c>
      <c r="D454" t="s">
        <v>59</v>
      </c>
      <c r="E454" t="s">
        <v>63</v>
      </c>
      <c r="F454" s="1">
        <v>45711</v>
      </c>
      <c r="G454" s="1">
        <v>45719</v>
      </c>
      <c r="H454" s="1">
        <v>45724</v>
      </c>
      <c r="I454" s="1">
        <v>45725</v>
      </c>
      <c r="J454" t="s">
        <v>27</v>
      </c>
      <c r="K454">
        <v>114</v>
      </c>
      <c r="L454">
        <v>206.62</v>
      </c>
      <c r="M454">
        <v>23554.68</v>
      </c>
      <c r="N454">
        <v>13</v>
      </c>
      <c r="O454">
        <f>Orders[[#This Row],[Actual_Ship_Date]]-Orders[[#This Row],[Expected_Ship_Date]]</f>
        <v>5</v>
      </c>
    </row>
    <row r="455" spans="1:15" x14ac:dyDescent="0.25">
      <c r="A455" t="s">
        <v>500</v>
      </c>
      <c r="B455" t="s">
        <v>45</v>
      </c>
      <c r="C455" t="s">
        <v>16</v>
      </c>
      <c r="D455" t="s">
        <v>59</v>
      </c>
      <c r="E455" t="s">
        <v>63</v>
      </c>
      <c r="F455" s="1">
        <v>45760</v>
      </c>
      <c r="G455" s="1">
        <v>45774</v>
      </c>
      <c r="H455" s="1">
        <v>45779</v>
      </c>
      <c r="I455" s="1">
        <v>45784</v>
      </c>
      <c r="J455" t="s">
        <v>32</v>
      </c>
      <c r="K455">
        <v>39</v>
      </c>
      <c r="L455">
        <v>227.52</v>
      </c>
      <c r="M455">
        <v>8873.2800000000007</v>
      </c>
      <c r="N455">
        <v>19</v>
      </c>
      <c r="O455">
        <f>Orders[[#This Row],[Actual_Ship_Date]]-Orders[[#This Row],[Expected_Ship_Date]]</f>
        <v>5</v>
      </c>
    </row>
    <row r="456" spans="1:15" x14ac:dyDescent="0.25">
      <c r="A456" t="s">
        <v>501</v>
      </c>
      <c r="B456" t="s">
        <v>29</v>
      </c>
      <c r="C456" t="s">
        <v>16</v>
      </c>
      <c r="D456" t="s">
        <v>17</v>
      </c>
      <c r="E456" t="s">
        <v>31</v>
      </c>
      <c r="F456" s="1">
        <v>45770</v>
      </c>
      <c r="G456" s="1">
        <v>45781</v>
      </c>
      <c r="H456" s="1">
        <v>45782</v>
      </c>
      <c r="I456" s="1">
        <v>45785</v>
      </c>
      <c r="J456" t="s">
        <v>32</v>
      </c>
      <c r="K456">
        <v>186</v>
      </c>
      <c r="L456">
        <v>635.94000000000005</v>
      </c>
      <c r="M456">
        <v>118284.84</v>
      </c>
      <c r="N456">
        <v>12</v>
      </c>
      <c r="O456">
        <f>Orders[[#This Row],[Actual_Ship_Date]]-Orders[[#This Row],[Expected_Ship_Date]]</f>
        <v>1</v>
      </c>
    </row>
    <row r="457" spans="1:15" x14ac:dyDescent="0.25">
      <c r="A457" t="s">
        <v>502</v>
      </c>
      <c r="B457" t="s">
        <v>48</v>
      </c>
      <c r="C457" t="s">
        <v>25</v>
      </c>
      <c r="D457" t="s">
        <v>59</v>
      </c>
      <c r="E457" t="s">
        <v>63</v>
      </c>
      <c r="F457" s="1">
        <v>45706</v>
      </c>
      <c r="G457" s="1">
        <v>45719</v>
      </c>
      <c r="H457" s="1">
        <v>45719</v>
      </c>
      <c r="I457" s="1">
        <v>45722</v>
      </c>
      <c r="J457" t="s">
        <v>36</v>
      </c>
      <c r="K457">
        <v>44</v>
      </c>
      <c r="L457">
        <v>370.77</v>
      </c>
      <c r="M457">
        <v>16313.88</v>
      </c>
      <c r="N457">
        <v>13</v>
      </c>
      <c r="O457">
        <f>Orders[[#This Row],[Actual_Ship_Date]]-Orders[[#This Row],[Expected_Ship_Date]]</f>
        <v>0</v>
      </c>
    </row>
    <row r="458" spans="1:15" x14ac:dyDescent="0.25">
      <c r="A458" t="s">
        <v>503</v>
      </c>
      <c r="B458" t="s">
        <v>38</v>
      </c>
      <c r="C458" t="s">
        <v>30</v>
      </c>
      <c r="D458" t="s">
        <v>22</v>
      </c>
      <c r="E458" t="s">
        <v>57</v>
      </c>
      <c r="F458" s="1">
        <v>45712</v>
      </c>
      <c r="G458" s="1">
        <v>45724</v>
      </c>
      <c r="H458" s="1">
        <v>45724</v>
      </c>
      <c r="I458" s="1">
        <v>45729</v>
      </c>
      <c r="J458" t="s">
        <v>36</v>
      </c>
      <c r="K458">
        <v>106</v>
      </c>
      <c r="L458">
        <v>645.4</v>
      </c>
      <c r="M458">
        <v>68412.399999999994</v>
      </c>
      <c r="N458">
        <v>12</v>
      </c>
      <c r="O458">
        <f>Orders[[#This Row],[Actual_Ship_Date]]-Orders[[#This Row],[Expected_Ship_Date]]</f>
        <v>0</v>
      </c>
    </row>
    <row r="459" spans="1:15" x14ac:dyDescent="0.25">
      <c r="A459" t="s">
        <v>504</v>
      </c>
      <c r="B459" t="s">
        <v>38</v>
      </c>
      <c r="C459" t="s">
        <v>43</v>
      </c>
      <c r="D459" t="s">
        <v>35</v>
      </c>
      <c r="E459" t="s">
        <v>40</v>
      </c>
      <c r="F459" s="1">
        <v>45729</v>
      </c>
      <c r="G459" s="1">
        <v>45740</v>
      </c>
      <c r="H459" s="1">
        <v>45741</v>
      </c>
      <c r="I459" s="1">
        <v>45744</v>
      </c>
      <c r="J459" t="s">
        <v>27</v>
      </c>
      <c r="K459">
        <v>152</v>
      </c>
      <c r="L459">
        <v>302.54000000000002</v>
      </c>
      <c r="M459">
        <v>45986.080000000002</v>
      </c>
      <c r="N459">
        <v>12</v>
      </c>
      <c r="O459">
        <f>Orders[[#This Row],[Actual_Ship_Date]]-Orders[[#This Row],[Expected_Ship_Date]]</f>
        <v>1</v>
      </c>
    </row>
    <row r="460" spans="1:15" x14ac:dyDescent="0.25">
      <c r="A460" t="s">
        <v>505</v>
      </c>
      <c r="B460" t="s">
        <v>24</v>
      </c>
      <c r="C460" t="s">
        <v>51</v>
      </c>
      <c r="D460" t="s">
        <v>22</v>
      </c>
      <c r="E460" t="s">
        <v>18</v>
      </c>
      <c r="F460" s="1">
        <v>45687</v>
      </c>
      <c r="G460" s="1">
        <v>45697</v>
      </c>
      <c r="H460" s="1">
        <v>45702</v>
      </c>
      <c r="I460" s="1">
        <v>45704</v>
      </c>
      <c r="J460" t="s">
        <v>32</v>
      </c>
      <c r="K460">
        <v>135</v>
      </c>
      <c r="L460">
        <v>349.47</v>
      </c>
      <c r="M460">
        <v>47178.45</v>
      </c>
      <c r="N460">
        <v>15</v>
      </c>
      <c r="O460">
        <f>Orders[[#This Row],[Actual_Ship_Date]]-Orders[[#This Row],[Expected_Ship_Date]]</f>
        <v>5</v>
      </c>
    </row>
    <row r="461" spans="1:15" x14ac:dyDescent="0.25">
      <c r="A461" t="s">
        <v>506</v>
      </c>
      <c r="B461" t="s">
        <v>38</v>
      </c>
      <c r="C461" t="s">
        <v>16</v>
      </c>
      <c r="D461" t="s">
        <v>35</v>
      </c>
      <c r="E461" t="s">
        <v>57</v>
      </c>
      <c r="F461" s="1">
        <v>45739</v>
      </c>
      <c r="G461" s="1">
        <v>45742</v>
      </c>
      <c r="H461" s="1">
        <v>45747</v>
      </c>
      <c r="I461" s="1">
        <v>45748</v>
      </c>
      <c r="J461" t="s">
        <v>27</v>
      </c>
      <c r="K461">
        <v>125</v>
      </c>
      <c r="L461">
        <v>788.09</v>
      </c>
      <c r="M461">
        <v>98511.25</v>
      </c>
      <c r="N461">
        <v>8</v>
      </c>
      <c r="O461">
        <f>Orders[[#This Row],[Actual_Ship_Date]]-Orders[[#This Row],[Expected_Ship_Date]]</f>
        <v>5</v>
      </c>
    </row>
    <row r="462" spans="1:15" x14ac:dyDescent="0.25">
      <c r="A462" t="s">
        <v>507</v>
      </c>
      <c r="B462" t="s">
        <v>15</v>
      </c>
      <c r="C462" t="s">
        <v>25</v>
      </c>
      <c r="D462" t="s">
        <v>17</v>
      </c>
      <c r="E462" t="s">
        <v>31</v>
      </c>
      <c r="F462" s="1">
        <v>45686</v>
      </c>
      <c r="G462" s="1">
        <v>45694</v>
      </c>
      <c r="H462" s="1">
        <v>45694</v>
      </c>
      <c r="I462" s="1">
        <v>45699</v>
      </c>
      <c r="J462" t="s">
        <v>19</v>
      </c>
      <c r="K462">
        <v>107</v>
      </c>
      <c r="L462">
        <v>527.66</v>
      </c>
      <c r="M462">
        <v>56459.62</v>
      </c>
      <c r="N462">
        <v>8</v>
      </c>
      <c r="O462">
        <f>Orders[[#This Row],[Actual_Ship_Date]]-Orders[[#This Row],[Expected_Ship_Date]]</f>
        <v>0</v>
      </c>
    </row>
    <row r="463" spans="1:15" x14ac:dyDescent="0.25">
      <c r="A463" t="s">
        <v>508</v>
      </c>
      <c r="B463" t="s">
        <v>15</v>
      </c>
      <c r="C463" t="s">
        <v>25</v>
      </c>
      <c r="D463" t="s">
        <v>22</v>
      </c>
      <c r="E463" t="s">
        <v>31</v>
      </c>
      <c r="F463" s="1">
        <v>45757</v>
      </c>
      <c r="G463" s="1">
        <v>45762</v>
      </c>
      <c r="H463" s="1">
        <v>45765</v>
      </c>
      <c r="I463" s="1">
        <v>45769</v>
      </c>
      <c r="J463" t="s">
        <v>27</v>
      </c>
      <c r="K463">
        <v>56</v>
      </c>
      <c r="L463">
        <v>725.22</v>
      </c>
      <c r="M463">
        <v>40612.32</v>
      </c>
      <c r="N463">
        <v>8</v>
      </c>
      <c r="O463">
        <f>Orders[[#This Row],[Actual_Ship_Date]]-Orders[[#This Row],[Expected_Ship_Date]]</f>
        <v>3</v>
      </c>
    </row>
    <row r="464" spans="1:15" x14ac:dyDescent="0.25">
      <c r="A464" t="s">
        <v>509</v>
      </c>
      <c r="B464" t="s">
        <v>29</v>
      </c>
      <c r="C464" t="s">
        <v>46</v>
      </c>
      <c r="D464" t="s">
        <v>22</v>
      </c>
      <c r="E464" t="s">
        <v>40</v>
      </c>
      <c r="F464" s="1">
        <v>45758</v>
      </c>
      <c r="G464" s="1">
        <v>45770</v>
      </c>
      <c r="H464" s="1">
        <v>45772</v>
      </c>
      <c r="I464" s="1">
        <v>45777</v>
      </c>
      <c r="J464" t="s">
        <v>27</v>
      </c>
      <c r="K464">
        <v>162</v>
      </c>
      <c r="L464">
        <v>156.52000000000001</v>
      </c>
      <c r="M464">
        <v>25356.240000000002</v>
      </c>
      <c r="N464">
        <v>14</v>
      </c>
      <c r="O464">
        <f>Orders[[#This Row],[Actual_Ship_Date]]-Orders[[#This Row],[Expected_Ship_Date]]</f>
        <v>2</v>
      </c>
    </row>
    <row r="465" spans="1:15" x14ac:dyDescent="0.25">
      <c r="A465" t="s">
        <v>510</v>
      </c>
      <c r="B465" t="s">
        <v>45</v>
      </c>
      <c r="C465" t="s">
        <v>51</v>
      </c>
      <c r="D465" t="s">
        <v>35</v>
      </c>
      <c r="E465" t="s">
        <v>31</v>
      </c>
      <c r="F465" s="1">
        <v>45658</v>
      </c>
      <c r="G465" s="1">
        <v>45663</v>
      </c>
      <c r="H465" s="1">
        <v>45663</v>
      </c>
      <c r="I465" s="1">
        <v>45666</v>
      </c>
      <c r="J465" t="s">
        <v>36</v>
      </c>
      <c r="K465">
        <v>106</v>
      </c>
      <c r="L465">
        <v>353.55</v>
      </c>
      <c r="M465">
        <v>37476.300000000003</v>
      </c>
      <c r="N465">
        <v>5</v>
      </c>
      <c r="O465">
        <f>Orders[[#This Row],[Actual_Ship_Date]]-Orders[[#This Row],[Expected_Ship_Date]]</f>
        <v>0</v>
      </c>
    </row>
    <row r="466" spans="1:15" x14ac:dyDescent="0.25">
      <c r="A466" t="s">
        <v>511</v>
      </c>
      <c r="B466" t="s">
        <v>56</v>
      </c>
      <c r="C466" t="s">
        <v>34</v>
      </c>
      <c r="D466" t="s">
        <v>17</v>
      </c>
      <c r="E466" t="s">
        <v>26</v>
      </c>
      <c r="F466" s="1">
        <v>45728</v>
      </c>
      <c r="G466" s="1">
        <v>45735</v>
      </c>
      <c r="H466" s="1">
        <v>45738</v>
      </c>
      <c r="I466" s="1">
        <v>45743</v>
      </c>
      <c r="J466" t="s">
        <v>27</v>
      </c>
      <c r="K466">
        <v>94</v>
      </c>
      <c r="L466">
        <v>305.14</v>
      </c>
      <c r="M466">
        <v>28683.16</v>
      </c>
      <c r="N466">
        <v>10</v>
      </c>
      <c r="O466">
        <f>Orders[[#This Row],[Actual_Ship_Date]]-Orders[[#This Row],[Expected_Ship_Date]]</f>
        <v>3</v>
      </c>
    </row>
    <row r="467" spans="1:15" x14ac:dyDescent="0.25">
      <c r="A467" t="s">
        <v>512</v>
      </c>
      <c r="B467" t="s">
        <v>15</v>
      </c>
      <c r="C467" t="s">
        <v>16</v>
      </c>
      <c r="D467" t="s">
        <v>17</v>
      </c>
      <c r="E467" t="s">
        <v>57</v>
      </c>
      <c r="F467" s="1">
        <v>45716</v>
      </c>
      <c r="G467" s="1">
        <v>45725</v>
      </c>
      <c r="H467" s="1">
        <v>45727</v>
      </c>
      <c r="I467" s="1">
        <v>45728</v>
      </c>
      <c r="J467" t="s">
        <v>27</v>
      </c>
      <c r="K467">
        <v>109</v>
      </c>
      <c r="L467">
        <v>437.71</v>
      </c>
      <c r="M467">
        <v>47710.39</v>
      </c>
      <c r="N467">
        <v>11</v>
      </c>
      <c r="O467">
        <f>Orders[[#This Row],[Actual_Ship_Date]]-Orders[[#This Row],[Expected_Ship_Date]]</f>
        <v>2</v>
      </c>
    </row>
    <row r="468" spans="1:15" x14ac:dyDescent="0.25">
      <c r="A468" t="s">
        <v>513</v>
      </c>
      <c r="B468" t="s">
        <v>48</v>
      </c>
      <c r="C468" t="s">
        <v>25</v>
      </c>
      <c r="D468" t="s">
        <v>39</v>
      </c>
      <c r="E468" t="s">
        <v>18</v>
      </c>
      <c r="F468" s="1">
        <v>45701</v>
      </c>
      <c r="G468" s="1">
        <v>45705</v>
      </c>
      <c r="H468" s="1">
        <v>45710</v>
      </c>
      <c r="I468" s="1">
        <v>45715</v>
      </c>
      <c r="J468" t="s">
        <v>27</v>
      </c>
      <c r="K468">
        <v>142</v>
      </c>
      <c r="L468">
        <v>693.98</v>
      </c>
      <c r="M468">
        <v>98545.16</v>
      </c>
      <c r="N468">
        <v>9</v>
      </c>
      <c r="O468">
        <f>Orders[[#This Row],[Actual_Ship_Date]]-Orders[[#This Row],[Expected_Ship_Date]]</f>
        <v>5</v>
      </c>
    </row>
    <row r="469" spans="1:15" x14ac:dyDescent="0.25">
      <c r="A469" t="s">
        <v>514</v>
      </c>
      <c r="B469" t="s">
        <v>48</v>
      </c>
      <c r="C469" t="s">
        <v>51</v>
      </c>
      <c r="D469" t="s">
        <v>39</v>
      </c>
      <c r="E469" t="s">
        <v>31</v>
      </c>
      <c r="F469" s="1">
        <v>45730</v>
      </c>
      <c r="G469" s="1">
        <v>45740</v>
      </c>
      <c r="H469" s="1">
        <v>45745</v>
      </c>
      <c r="I469" s="1">
        <v>45747</v>
      </c>
      <c r="J469" t="s">
        <v>27</v>
      </c>
      <c r="K469">
        <v>122</v>
      </c>
      <c r="L469">
        <v>584.13</v>
      </c>
      <c r="M469">
        <v>71263.86</v>
      </c>
      <c r="N469">
        <v>15</v>
      </c>
      <c r="O469">
        <f>Orders[[#This Row],[Actual_Ship_Date]]-Orders[[#This Row],[Expected_Ship_Date]]</f>
        <v>5</v>
      </c>
    </row>
    <row r="470" spans="1:15" x14ac:dyDescent="0.25">
      <c r="A470" t="s">
        <v>515</v>
      </c>
      <c r="B470" t="s">
        <v>38</v>
      </c>
      <c r="C470" t="s">
        <v>46</v>
      </c>
      <c r="D470" t="s">
        <v>17</v>
      </c>
      <c r="E470" t="s">
        <v>63</v>
      </c>
      <c r="F470" s="1">
        <v>45691</v>
      </c>
      <c r="G470" s="1">
        <v>45695</v>
      </c>
      <c r="H470" s="1">
        <v>45696</v>
      </c>
      <c r="I470" s="1">
        <v>45698</v>
      </c>
      <c r="J470" t="s">
        <v>27</v>
      </c>
      <c r="K470">
        <v>63</v>
      </c>
      <c r="L470">
        <v>683.13</v>
      </c>
      <c r="M470">
        <v>43037.19</v>
      </c>
      <c r="N470">
        <v>5</v>
      </c>
      <c r="O470">
        <f>Orders[[#This Row],[Actual_Ship_Date]]-Orders[[#This Row],[Expected_Ship_Date]]</f>
        <v>1</v>
      </c>
    </row>
    <row r="471" spans="1:15" x14ac:dyDescent="0.25">
      <c r="A471" t="s">
        <v>516</v>
      </c>
      <c r="B471" t="s">
        <v>24</v>
      </c>
      <c r="C471" t="s">
        <v>16</v>
      </c>
      <c r="D471" t="s">
        <v>17</v>
      </c>
      <c r="E471" t="s">
        <v>26</v>
      </c>
      <c r="F471" s="1">
        <v>45659</v>
      </c>
      <c r="G471" s="1">
        <v>45673</v>
      </c>
      <c r="H471" s="1">
        <v>45678</v>
      </c>
      <c r="I471" s="1">
        <v>45681</v>
      </c>
      <c r="J471" t="s">
        <v>27</v>
      </c>
      <c r="K471">
        <v>28</v>
      </c>
      <c r="L471">
        <v>348.11</v>
      </c>
      <c r="M471">
        <v>9747.08</v>
      </c>
      <c r="N471">
        <v>19</v>
      </c>
      <c r="O471">
        <f>Orders[[#This Row],[Actual_Ship_Date]]-Orders[[#This Row],[Expected_Ship_Date]]</f>
        <v>5</v>
      </c>
    </row>
    <row r="472" spans="1:15" x14ac:dyDescent="0.25">
      <c r="A472" t="s">
        <v>517</v>
      </c>
      <c r="B472" t="s">
        <v>45</v>
      </c>
      <c r="C472" t="s">
        <v>30</v>
      </c>
      <c r="D472" t="s">
        <v>22</v>
      </c>
      <c r="E472" t="s">
        <v>26</v>
      </c>
      <c r="F472" s="1">
        <v>45718</v>
      </c>
      <c r="G472" s="1">
        <v>45726</v>
      </c>
      <c r="H472" s="1">
        <v>45726</v>
      </c>
      <c r="I472" s="1">
        <v>45728</v>
      </c>
      <c r="J472" t="s">
        <v>32</v>
      </c>
      <c r="K472">
        <v>196</v>
      </c>
      <c r="L472">
        <v>585.39</v>
      </c>
      <c r="M472">
        <v>114736.44</v>
      </c>
      <c r="N472">
        <v>8</v>
      </c>
      <c r="O472">
        <f>Orders[[#This Row],[Actual_Ship_Date]]-Orders[[#This Row],[Expected_Ship_Date]]</f>
        <v>0</v>
      </c>
    </row>
    <row r="473" spans="1:15" x14ac:dyDescent="0.25">
      <c r="A473" t="s">
        <v>518</v>
      </c>
      <c r="B473" t="s">
        <v>48</v>
      </c>
      <c r="C473" t="s">
        <v>46</v>
      </c>
      <c r="D473" t="s">
        <v>22</v>
      </c>
      <c r="E473" t="s">
        <v>31</v>
      </c>
      <c r="F473" s="1">
        <v>45752</v>
      </c>
      <c r="G473" s="1">
        <v>45758</v>
      </c>
      <c r="H473" s="1">
        <v>45763</v>
      </c>
      <c r="I473" s="1">
        <v>45766</v>
      </c>
      <c r="J473" t="s">
        <v>27</v>
      </c>
      <c r="K473">
        <v>56</v>
      </c>
      <c r="L473">
        <v>712.18</v>
      </c>
      <c r="M473">
        <v>39882.080000000002</v>
      </c>
      <c r="N473">
        <v>11</v>
      </c>
      <c r="O473">
        <f>Orders[[#This Row],[Actual_Ship_Date]]-Orders[[#This Row],[Expected_Ship_Date]]</f>
        <v>5</v>
      </c>
    </row>
    <row r="474" spans="1:15" x14ac:dyDescent="0.25">
      <c r="A474" t="s">
        <v>519</v>
      </c>
      <c r="B474" t="s">
        <v>29</v>
      </c>
      <c r="C474" t="s">
        <v>30</v>
      </c>
      <c r="D474" t="s">
        <v>59</v>
      </c>
      <c r="E474" t="s">
        <v>63</v>
      </c>
      <c r="F474" s="1">
        <v>45673</v>
      </c>
      <c r="G474" s="1">
        <v>45677</v>
      </c>
      <c r="H474" s="1">
        <v>45680</v>
      </c>
      <c r="I474" s="1">
        <v>45684</v>
      </c>
      <c r="J474" t="s">
        <v>27</v>
      </c>
      <c r="K474">
        <v>200</v>
      </c>
      <c r="L474">
        <v>730.67</v>
      </c>
      <c r="M474">
        <v>146134</v>
      </c>
      <c r="N474">
        <v>7</v>
      </c>
      <c r="O474">
        <f>Orders[[#This Row],[Actual_Ship_Date]]-Orders[[#This Row],[Expected_Ship_Date]]</f>
        <v>3</v>
      </c>
    </row>
    <row r="475" spans="1:15" x14ac:dyDescent="0.25">
      <c r="A475" t="s">
        <v>520</v>
      </c>
      <c r="B475" t="s">
        <v>56</v>
      </c>
      <c r="C475" t="s">
        <v>21</v>
      </c>
      <c r="D475" t="s">
        <v>22</v>
      </c>
      <c r="E475" t="s">
        <v>63</v>
      </c>
      <c r="F475" s="1">
        <v>45698</v>
      </c>
      <c r="G475" s="1">
        <v>45708</v>
      </c>
      <c r="H475" s="1">
        <v>45710</v>
      </c>
      <c r="I475" s="1">
        <v>45713</v>
      </c>
      <c r="J475" t="s">
        <v>27</v>
      </c>
      <c r="K475">
        <v>200</v>
      </c>
      <c r="L475">
        <v>779.87</v>
      </c>
      <c r="M475">
        <v>155974</v>
      </c>
      <c r="N475">
        <v>12</v>
      </c>
      <c r="O475">
        <f>Orders[[#This Row],[Actual_Ship_Date]]-Orders[[#This Row],[Expected_Ship_Date]]</f>
        <v>2</v>
      </c>
    </row>
    <row r="476" spans="1:15" x14ac:dyDescent="0.25">
      <c r="A476" t="s">
        <v>521</v>
      </c>
      <c r="B476" t="s">
        <v>24</v>
      </c>
      <c r="C476" t="s">
        <v>21</v>
      </c>
      <c r="D476" t="s">
        <v>22</v>
      </c>
      <c r="E476" t="s">
        <v>18</v>
      </c>
      <c r="F476" s="1">
        <v>45674</v>
      </c>
      <c r="G476" s="1">
        <v>45677</v>
      </c>
      <c r="H476" s="1">
        <v>45679</v>
      </c>
      <c r="I476" s="1">
        <v>45683</v>
      </c>
      <c r="J476" t="s">
        <v>27</v>
      </c>
      <c r="K476">
        <v>143</v>
      </c>
      <c r="L476">
        <v>42.19</v>
      </c>
      <c r="M476">
        <v>6033.17</v>
      </c>
      <c r="N476">
        <v>5</v>
      </c>
      <c r="O476">
        <f>Orders[[#This Row],[Actual_Ship_Date]]-Orders[[#This Row],[Expected_Ship_Date]]</f>
        <v>2</v>
      </c>
    </row>
    <row r="477" spans="1:15" x14ac:dyDescent="0.25">
      <c r="A477" t="s">
        <v>522</v>
      </c>
      <c r="B477" t="s">
        <v>45</v>
      </c>
      <c r="C477" t="s">
        <v>21</v>
      </c>
      <c r="D477" t="s">
        <v>17</v>
      </c>
      <c r="E477" t="s">
        <v>31</v>
      </c>
      <c r="F477" s="1">
        <v>45673</v>
      </c>
      <c r="G477" s="1">
        <v>45687</v>
      </c>
      <c r="H477" s="1">
        <v>45689</v>
      </c>
      <c r="I477" s="1">
        <v>45693</v>
      </c>
      <c r="J477" t="s">
        <v>27</v>
      </c>
      <c r="K477">
        <v>7</v>
      </c>
      <c r="L477">
        <v>24.87</v>
      </c>
      <c r="M477">
        <v>174.09</v>
      </c>
      <c r="N477">
        <v>16</v>
      </c>
      <c r="O477">
        <f>Orders[[#This Row],[Actual_Ship_Date]]-Orders[[#This Row],[Expected_Ship_Date]]</f>
        <v>2</v>
      </c>
    </row>
    <row r="478" spans="1:15" x14ac:dyDescent="0.25">
      <c r="A478" t="s">
        <v>523</v>
      </c>
      <c r="B478" t="s">
        <v>53</v>
      </c>
      <c r="C478" t="s">
        <v>46</v>
      </c>
      <c r="D478" t="s">
        <v>59</v>
      </c>
      <c r="E478" t="s">
        <v>26</v>
      </c>
      <c r="F478" s="1">
        <v>45699</v>
      </c>
      <c r="G478" s="1">
        <v>45707</v>
      </c>
      <c r="H478" s="1">
        <v>45709</v>
      </c>
      <c r="I478" s="1">
        <v>45712</v>
      </c>
      <c r="J478" t="s">
        <v>32</v>
      </c>
      <c r="K478">
        <v>72</v>
      </c>
      <c r="L478">
        <v>213.01</v>
      </c>
      <c r="M478">
        <v>15336.72</v>
      </c>
      <c r="N478">
        <v>10</v>
      </c>
      <c r="O478">
        <f>Orders[[#This Row],[Actual_Ship_Date]]-Orders[[#This Row],[Expected_Ship_Date]]</f>
        <v>2</v>
      </c>
    </row>
    <row r="479" spans="1:15" x14ac:dyDescent="0.25">
      <c r="A479" t="s">
        <v>524</v>
      </c>
      <c r="B479" t="s">
        <v>78</v>
      </c>
      <c r="C479" t="s">
        <v>43</v>
      </c>
      <c r="D479" t="s">
        <v>17</v>
      </c>
      <c r="E479" t="s">
        <v>40</v>
      </c>
      <c r="F479" s="1">
        <v>45721</v>
      </c>
      <c r="G479" s="1">
        <v>45730</v>
      </c>
      <c r="H479" s="1">
        <v>45730</v>
      </c>
      <c r="I479" s="1">
        <v>45734</v>
      </c>
      <c r="J479" t="s">
        <v>36</v>
      </c>
      <c r="K479">
        <v>107</v>
      </c>
      <c r="L479">
        <v>248.49</v>
      </c>
      <c r="M479">
        <v>26588.43</v>
      </c>
      <c r="N479">
        <v>9</v>
      </c>
      <c r="O479">
        <f>Orders[[#This Row],[Actual_Ship_Date]]-Orders[[#This Row],[Expected_Ship_Date]]</f>
        <v>0</v>
      </c>
    </row>
    <row r="480" spans="1:15" x14ac:dyDescent="0.25">
      <c r="A480" t="s">
        <v>525</v>
      </c>
      <c r="B480" t="s">
        <v>38</v>
      </c>
      <c r="C480" t="s">
        <v>34</v>
      </c>
      <c r="D480" t="s">
        <v>22</v>
      </c>
      <c r="E480" t="s">
        <v>40</v>
      </c>
      <c r="F480" s="1">
        <v>45687</v>
      </c>
      <c r="G480" s="1">
        <v>45691</v>
      </c>
      <c r="H480" s="1">
        <v>45694</v>
      </c>
      <c r="I480" s="1">
        <v>45697</v>
      </c>
      <c r="J480" t="s">
        <v>27</v>
      </c>
      <c r="K480">
        <v>147</v>
      </c>
      <c r="L480">
        <v>375.9</v>
      </c>
      <c r="M480">
        <v>55257.3</v>
      </c>
      <c r="N480">
        <v>7</v>
      </c>
      <c r="O480">
        <f>Orders[[#This Row],[Actual_Ship_Date]]-Orders[[#This Row],[Expected_Ship_Date]]</f>
        <v>3</v>
      </c>
    </row>
    <row r="481" spans="1:15" x14ac:dyDescent="0.25">
      <c r="A481" t="s">
        <v>526</v>
      </c>
      <c r="B481" t="s">
        <v>15</v>
      </c>
      <c r="C481" t="s">
        <v>46</v>
      </c>
      <c r="D481" t="s">
        <v>39</v>
      </c>
      <c r="E481" t="s">
        <v>57</v>
      </c>
      <c r="F481" s="1">
        <v>45677</v>
      </c>
      <c r="G481" s="1">
        <v>45687</v>
      </c>
      <c r="H481" s="1">
        <v>45692</v>
      </c>
      <c r="I481" s="1">
        <v>45693</v>
      </c>
      <c r="J481" t="s">
        <v>32</v>
      </c>
      <c r="K481">
        <v>132</v>
      </c>
      <c r="L481">
        <v>127.28</v>
      </c>
      <c r="M481">
        <v>16800.96</v>
      </c>
      <c r="N481">
        <v>15</v>
      </c>
      <c r="O481">
        <f>Orders[[#This Row],[Actual_Ship_Date]]-Orders[[#This Row],[Expected_Ship_Date]]</f>
        <v>5</v>
      </c>
    </row>
    <row r="482" spans="1:15" x14ac:dyDescent="0.25">
      <c r="A482" t="s">
        <v>527</v>
      </c>
      <c r="B482" t="s">
        <v>29</v>
      </c>
      <c r="C482" t="s">
        <v>34</v>
      </c>
      <c r="D482" t="s">
        <v>59</v>
      </c>
      <c r="E482" t="s">
        <v>18</v>
      </c>
      <c r="F482" s="1">
        <v>45690</v>
      </c>
      <c r="G482" s="1">
        <v>45701</v>
      </c>
      <c r="H482" s="1">
        <v>45706</v>
      </c>
      <c r="I482" s="1">
        <v>45711</v>
      </c>
      <c r="J482" t="s">
        <v>32</v>
      </c>
      <c r="K482">
        <v>30</v>
      </c>
      <c r="L482">
        <v>591.6</v>
      </c>
      <c r="M482">
        <v>17748</v>
      </c>
      <c r="N482">
        <v>16</v>
      </c>
      <c r="O482">
        <f>Orders[[#This Row],[Actual_Ship_Date]]-Orders[[#This Row],[Expected_Ship_Date]]</f>
        <v>5</v>
      </c>
    </row>
    <row r="483" spans="1:15" x14ac:dyDescent="0.25">
      <c r="A483" t="s">
        <v>528</v>
      </c>
      <c r="B483" t="s">
        <v>56</v>
      </c>
      <c r="C483" t="s">
        <v>46</v>
      </c>
      <c r="D483" t="s">
        <v>35</v>
      </c>
      <c r="E483" t="s">
        <v>18</v>
      </c>
      <c r="F483" s="1">
        <v>45765</v>
      </c>
      <c r="G483" s="1">
        <v>45778</v>
      </c>
      <c r="H483" s="1">
        <v>45778</v>
      </c>
      <c r="I483" s="1">
        <v>45782</v>
      </c>
      <c r="J483" t="s">
        <v>36</v>
      </c>
      <c r="K483">
        <v>97</v>
      </c>
      <c r="L483">
        <v>482.89</v>
      </c>
      <c r="M483">
        <v>46840.33</v>
      </c>
      <c r="N483">
        <v>13</v>
      </c>
      <c r="O483">
        <f>Orders[[#This Row],[Actual_Ship_Date]]-Orders[[#This Row],[Expected_Ship_Date]]</f>
        <v>0</v>
      </c>
    </row>
    <row r="484" spans="1:15" x14ac:dyDescent="0.25">
      <c r="A484" t="s">
        <v>529</v>
      </c>
      <c r="B484" t="s">
        <v>15</v>
      </c>
      <c r="C484" t="s">
        <v>43</v>
      </c>
      <c r="D484" t="s">
        <v>59</v>
      </c>
      <c r="E484" t="s">
        <v>57</v>
      </c>
      <c r="F484" s="1">
        <v>45673</v>
      </c>
      <c r="G484" s="1">
        <v>45681</v>
      </c>
      <c r="H484" s="1">
        <v>45686</v>
      </c>
      <c r="I484" s="1">
        <v>45691</v>
      </c>
      <c r="J484" t="s">
        <v>32</v>
      </c>
      <c r="K484">
        <v>152</v>
      </c>
      <c r="L484">
        <v>557.64</v>
      </c>
      <c r="M484">
        <v>84761.279999999999</v>
      </c>
      <c r="N484">
        <v>13</v>
      </c>
      <c r="O484">
        <f>Orders[[#This Row],[Actual_Ship_Date]]-Orders[[#This Row],[Expected_Ship_Date]]</f>
        <v>5</v>
      </c>
    </row>
    <row r="485" spans="1:15" x14ac:dyDescent="0.25">
      <c r="A485" t="s">
        <v>530</v>
      </c>
      <c r="B485" t="s">
        <v>38</v>
      </c>
      <c r="C485" t="s">
        <v>25</v>
      </c>
      <c r="D485" t="s">
        <v>39</v>
      </c>
      <c r="E485" t="s">
        <v>40</v>
      </c>
      <c r="F485" s="1">
        <v>45699</v>
      </c>
      <c r="G485" s="1">
        <v>45712</v>
      </c>
      <c r="H485" s="1">
        <v>45714</v>
      </c>
      <c r="I485" s="1">
        <v>45718</v>
      </c>
      <c r="J485" t="s">
        <v>27</v>
      </c>
      <c r="K485">
        <v>119</v>
      </c>
      <c r="L485">
        <v>757.84</v>
      </c>
      <c r="M485">
        <v>90182.96</v>
      </c>
      <c r="N485">
        <v>15</v>
      </c>
      <c r="O485">
        <f>Orders[[#This Row],[Actual_Ship_Date]]-Orders[[#This Row],[Expected_Ship_Date]]</f>
        <v>2</v>
      </c>
    </row>
    <row r="486" spans="1:15" x14ac:dyDescent="0.25">
      <c r="A486" t="s">
        <v>531</v>
      </c>
      <c r="B486" t="s">
        <v>42</v>
      </c>
      <c r="C486" t="s">
        <v>16</v>
      </c>
      <c r="D486" t="s">
        <v>22</v>
      </c>
      <c r="E486" t="s">
        <v>57</v>
      </c>
      <c r="F486" s="1">
        <v>45676</v>
      </c>
      <c r="G486" s="1">
        <v>45681</v>
      </c>
      <c r="H486" s="1">
        <v>45684</v>
      </c>
      <c r="I486" s="1">
        <v>45687</v>
      </c>
      <c r="J486" t="s">
        <v>27</v>
      </c>
      <c r="K486">
        <v>161</v>
      </c>
      <c r="L486">
        <v>492.32</v>
      </c>
      <c r="M486">
        <v>79263.520000000004</v>
      </c>
      <c r="N486">
        <v>8</v>
      </c>
      <c r="O486">
        <f>Orders[[#This Row],[Actual_Ship_Date]]-Orders[[#This Row],[Expected_Ship_Date]]</f>
        <v>3</v>
      </c>
    </row>
    <row r="487" spans="1:15" x14ac:dyDescent="0.25">
      <c r="A487" t="s">
        <v>532</v>
      </c>
      <c r="B487" t="s">
        <v>53</v>
      </c>
      <c r="C487" t="s">
        <v>46</v>
      </c>
      <c r="D487" t="s">
        <v>17</v>
      </c>
      <c r="E487" t="s">
        <v>63</v>
      </c>
      <c r="F487" s="1">
        <v>45687</v>
      </c>
      <c r="G487" s="1">
        <v>45695</v>
      </c>
      <c r="H487" s="1">
        <v>45695</v>
      </c>
      <c r="I487" s="1">
        <v>45698</v>
      </c>
      <c r="J487" t="s">
        <v>36</v>
      </c>
      <c r="K487">
        <v>106</v>
      </c>
      <c r="L487">
        <v>241.49</v>
      </c>
      <c r="M487">
        <v>25597.94</v>
      </c>
      <c r="N487">
        <v>8</v>
      </c>
      <c r="O487">
        <f>Orders[[#This Row],[Actual_Ship_Date]]-Orders[[#This Row],[Expected_Ship_Date]]</f>
        <v>0</v>
      </c>
    </row>
    <row r="488" spans="1:15" x14ac:dyDescent="0.25">
      <c r="A488" t="s">
        <v>533</v>
      </c>
      <c r="B488" t="s">
        <v>42</v>
      </c>
      <c r="C488" t="s">
        <v>34</v>
      </c>
      <c r="D488" t="s">
        <v>22</v>
      </c>
      <c r="E488" t="s">
        <v>18</v>
      </c>
      <c r="F488" s="1">
        <v>45715</v>
      </c>
      <c r="G488" s="1">
        <v>45724</v>
      </c>
      <c r="H488" s="1">
        <v>45724</v>
      </c>
      <c r="I488" s="1">
        <v>45726</v>
      </c>
      <c r="J488" t="s">
        <v>32</v>
      </c>
      <c r="K488">
        <v>65</v>
      </c>
      <c r="L488">
        <v>567.79</v>
      </c>
      <c r="M488">
        <v>36906.35</v>
      </c>
      <c r="N488">
        <v>9</v>
      </c>
      <c r="O488">
        <f>Orders[[#This Row],[Actual_Ship_Date]]-Orders[[#This Row],[Expected_Ship_Date]]</f>
        <v>0</v>
      </c>
    </row>
    <row r="489" spans="1:15" x14ac:dyDescent="0.25">
      <c r="A489" t="s">
        <v>534</v>
      </c>
      <c r="B489" t="s">
        <v>42</v>
      </c>
      <c r="C489" t="s">
        <v>16</v>
      </c>
      <c r="D489" t="s">
        <v>59</v>
      </c>
      <c r="E489" t="s">
        <v>63</v>
      </c>
      <c r="F489" s="1">
        <v>45671</v>
      </c>
      <c r="G489" s="1">
        <v>45675</v>
      </c>
      <c r="H489" s="1">
        <v>45675</v>
      </c>
      <c r="I489" s="1">
        <v>45679</v>
      </c>
      <c r="J489" t="s">
        <v>32</v>
      </c>
      <c r="K489">
        <v>106</v>
      </c>
      <c r="L489">
        <v>452.53</v>
      </c>
      <c r="M489">
        <v>47968.18</v>
      </c>
      <c r="N489">
        <v>4</v>
      </c>
      <c r="O489">
        <f>Orders[[#This Row],[Actual_Ship_Date]]-Orders[[#This Row],[Expected_Ship_Date]]</f>
        <v>0</v>
      </c>
    </row>
    <row r="490" spans="1:15" x14ac:dyDescent="0.25">
      <c r="A490" t="s">
        <v>535</v>
      </c>
      <c r="B490" t="s">
        <v>53</v>
      </c>
      <c r="C490" t="s">
        <v>43</v>
      </c>
      <c r="D490" t="s">
        <v>22</v>
      </c>
      <c r="E490" t="s">
        <v>63</v>
      </c>
      <c r="F490" s="1">
        <v>45677</v>
      </c>
      <c r="G490" s="1">
        <v>45681</v>
      </c>
      <c r="H490" s="1">
        <v>45684</v>
      </c>
      <c r="I490" s="1">
        <v>45688</v>
      </c>
      <c r="J490" t="s">
        <v>27</v>
      </c>
      <c r="K490">
        <v>68</v>
      </c>
      <c r="L490">
        <v>630.89</v>
      </c>
      <c r="M490">
        <v>42900.52</v>
      </c>
      <c r="N490">
        <v>7</v>
      </c>
      <c r="O490">
        <f>Orders[[#This Row],[Actual_Ship_Date]]-Orders[[#This Row],[Expected_Ship_Date]]</f>
        <v>3</v>
      </c>
    </row>
    <row r="491" spans="1:15" x14ac:dyDescent="0.25">
      <c r="A491" t="s">
        <v>536</v>
      </c>
      <c r="B491" t="s">
        <v>53</v>
      </c>
      <c r="C491" t="s">
        <v>25</v>
      </c>
      <c r="D491" t="s">
        <v>17</v>
      </c>
      <c r="E491" t="s">
        <v>18</v>
      </c>
      <c r="F491" s="1">
        <v>45765</v>
      </c>
      <c r="G491" s="1">
        <v>45770</v>
      </c>
      <c r="H491" s="1">
        <v>45770</v>
      </c>
      <c r="I491" s="1">
        <v>45771</v>
      </c>
      <c r="J491" t="s">
        <v>36</v>
      </c>
      <c r="K491">
        <v>88</v>
      </c>
      <c r="L491">
        <v>736.64</v>
      </c>
      <c r="M491">
        <v>64824.32</v>
      </c>
      <c r="N491">
        <v>5</v>
      </c>
      <c r="O491">
        <f>Orders[[#This Row],[Actual_Ship_Date]]-Orders[[#This Row],[Expected_Ship_Date]]</f>
        <v>0</v>
      </c>
    </row>
    <row r="492" spans="1:15" x14ac:dyDescent="0.25">
      <c r="A492" t="s">
        <v>537</v>
      </c>
      <c r="B492" t="s">
        <v>48</v>
      </c>
      <c r="C492" t="s">
        <v>21</v>
      </c>
      <c r="D492" t="s">
        <v>17</v>
      </c>
      <c r="E492" t="s">
        <v>40</v>
      </c>
      <c r="F492" s="1">
        <v>45675</v>
      </c>
      <c r="G492" s="1">
        <v>45689</v>
      </c>
      <c r="H492" s="1">
        <v>45691</v>
      </c>
      <c r="I492" s="1">
        <v>45693</v>
      </c>
      <c r="J492" t="s">
        <v>27</v>
      </c>
      <c r="K492">
        <v>121</v>
      </c>
      <c r="L492">
        <v>541.91999999999996</v>
      </c>
      <c r="M492">
        <v>65572.320000000007</v>
      </c>
      <c r="N492">
        <v>16</v>
      </c>
      <c r="O492">
        <f>Orders[[#This Row],[Actual_Ship_Date]]-Orders[[#This Row],[Expected_Ship_Date]]</f>
        <v>2</v>
      </c>
    </row>
    <row r="493" spans="1:15" x14ac:dyDescent="0.25">
      <c r="A493" t="s">
        <v>538</v>
      </c>
      <c r="B493" t="s">
        <v>24</v>
      </c>
      <c r="C493" t="s">
        <v>21</v>
      </c>
      <c r="D493" t="s">
        <v>59</v>
      </c>
      <c r="E493" t="s">
        <v>26</v>
      </c>
      <c r="F493" s="1">
        <v>45739</v>
      </c>
      <c r="G493" s="1">
        <v>45750</v>
      </c>
      <c r="H493" s="1">
        <v>45750</v>
      </c>
      <c r="I493" s="1">
        <v>45753</v>
      </c>
      <c r="J493" t="s">
        <v>36</v>
      </c>
      <c r="K493">
        <v>27</v>
      </c>
      <c r="L493">
        <v>383.95</v>
      </c>
      <c r="M493">
        <v>10366.65</v>
      </c>
      <c r="N493">
        <v>11</v>
      </c>
      <c r="O493">
        <f>Orders[[#This Row],[Actual_Ship_Date]]-Orders[[#This Row],[Expected_Ship_Date]]</f>
        <v>0</v>
      </c>
    </row>
    <row r="494" spans="1:15" x14ac:dyDescent="0.25">
      <c r="A494" t="s">
        <v>539</v>
      </c>
      <c r="B494" t="s">
        <v>53</v>
      </c>
      <c r="C494" t="s">
        <v>30</v>
      </c>
      <c r="D494" t="s">
        <v>59</v>
      </c>
      <c r="E494" t="s">
        <v>31</v>
      </c>
      <c r="F494" s="1">
        <v>45696</v>
      </c>
      <c r="G494" s="1">
        <v>45699</v>
      </c>
      <c r="H494" s="1">
        <v>45699</v>
      </c>
      <c r="I494" s="1">
        <v>45704</v>
      </c>
      <c r="J494" t="s">
        <v>19</v>
      </c>
      <c r="K494">
        <v>125</v>
      </c>
      <c r="L494">
        <v>461.81</v>
      </c>
      <c r="M494">
        <v>57726.25</v>
      </c>
      <c r="N494">
        <v>3</v>
      </c>
      <c r="O494">
        <f>Orders[[#This Row],[Actual_Ship_Date]]-Orders[[#This Row],[Expected_Ship_Date]]</f>
        <v>0</v>
      </c>
    </row>
    <row r="495" spans="1:15" x14ac:dyDescent="0.25">
      <c r="A495" t="s">
        <v>540</v>
      </c>
      <c r="B495" t="s">
        <v>45</v>
      </c>
      <c r="C495" t="s">
        <v>21</v>
      </c>
      <c r="D495" t="s">
        <v>17</v>
      </c>
      <c r="E495" t="s">
        <v>18</v>
      </c>
      <c r="F495" s="1">
        <v>45756</v>
      </c>
      <c r="G495" s="1">
        <v>45765</v>
      </c>
      <c r="H495" s="1">
        <v>45770</v>
      </c>
      <c r="I495" s="1">
        <v>45773</v>
      </c>
      <c r="J495" t="s">
        <v>27</v>
      </c>
      <c r="K495">
        <v>6</v>
      </c>
      <c r="L495">
        <v>472.76</v>
      </c>
      <c r="M495">
        <v>2836.56</v>
      </c>
      <c r="N495">
        <v>14</v>
      </c>
      <c r="O495">
        <f>Orders[[#This Row],[Actual_Ship_Date]]-Orders[[#This Row],[Expected_Ship_Date]]</f>
        <v>5</v>
      </c>
    </row>
    <row r="496" spans="1:15" x14ac:dyDescent="0.25">
      <c r="A496" t="s">
        <v>541</v>
      </c>
      <c r="B496" t="s">
        <v>45</v>
      </c>
      <c r="C496" t="s">
        <v>25</v>
      </c>
      <c r="D496" t="s">
        <v>59</v>
      </c>
      <c r="E496" t="s">
        <v>40</v>
      </c>
      <c r="F496" s="1">
        <v>45708</v>
      </c>
      <c r="G496" s="1">
        <v>45714</v>
      </c>
      <c r="H496" s="1">
        <v>45714</v>
      </c>
      <c r="I496" s="1">
        <v>45718</v>
      </c>
      <c r="J496" t="s">
        <v>36</v>
      </c>
      <c r="K496">
        <v>25</v>
      </c>
      <c r="L496">
        <v>367.57</v>
      </c>
      <c r="M496">
        <v>9189.25</v>
      </c>
      <c r="N496">
        <v>6</v>
      </c>
      <c r="O496">
        <f>Orders[[#This Row],[Actual_Ship_Date]]-Orders[[#This Row],[Expected_Ship_Date]]</f>
        <v>0</v>
      </c>
    </row>
    <row r="497" spans="1:15" x14ac:dyDescent="0.25">
      <c r="A497" t="s">
        <v>542</v>
      </c>
      <c r="B497" t="s">
        <v>56</v>
      </c>
      <c r="C497" t="s">
        <v>16</v>
      </c>
      <c r="D497" t="s">
        <v>39</v>
      </c>
      <c r="E497" t="s">
        <v>63</v>
      </c>
      <c r="F497" s="1">
        <v>45753</v>
      </c>
      <c r="G497" s="1">
        <v>45764</v>
      </c>
      <c r="H497" s="1">
        <v>45769</v>
      </c>
      <c r="I497" s="1">
        <v>45772</v>
      </c>
      <c r="J497" t="s">
        <v>27</v>
      </c>
      <c r="K497">
        <v>22</v>
      </c>
      <c r="L497">
        <v>167.31</v>
      </c>
      <c r="M497">
        <v>3680.82</v>
      </c>
      <c r="N497">
        <v>16</v>
      </c>
      <c r="O497">
        <f>Orders[[#This Row],[Actual_Ship_Date]]-Orders[[#This Row],[Expected_Ship_Date]]</f>
        <v>5</v>
      </c>
    </row>
    <row r="498" spans="1:15" x14ac:dyDescent="0.25">
      <c r="A498" t="s">
        <v>543</v>
      </c>
      <c r="B498" t="s">
        <v>29</v>
      </c>
      <c r="C498" t="s">
        <v>51</v>
      </c>
      <c r="D498" t="s">
        <v>22</v>
      </c>
      <c r="E498" t="s">
        <v>31</v>
      </c>
      <c r="F498" s="1">
        <v>45715</v>
      </c>
      <c r="G498" s="1">
        <v>45722</v>
      </c>
      <c r="H498" s="1">
        <v>45725</v>
      </c>
      <c r="I498" s="1">
        <v>45730</v>
      </c>
      <c r="J498" t="s">
        <v>27</v>
      </c>
      <c r="K498">
        <v>87</v>
      </c>
      <c r="L498">
        <v>31.2</v>
      </c>
      <c r="M498">
        <v>2714.4</v>
      </c>
      <c r="N498">
        <v>10</v>
      </c>
      <c r="O498">
        <f>Orders[[#This Row],[Actual_Ship_Date]]-Orders[[#This Row],[Expected_Ship_Date]]</f>
        <v>3</v>
      </c>
    </row>
    <row r="499" spans="1:15" x14ac:dyDescent="0.25">
      <c r="A499" t="s">
        <v>544</v>
      </c>
      <c r="B499" t="s">
        <v>45</v>
      </c>
      <c r="C499" t="s">
        <v>46</v>
      </c>
      <c r="D499" t="s">
        <v>39</v>
      </c>
      <c r="E499" t="s">
        <v>57</v>
      </c>
      <c r="F499" s="1">
        <v>45694</v>
      </c>
      <c r="G499" s="1">
        <v>45701</v>
      </c>
      <c r="H499" s="1">
        <v>45701</v>
      </c>
      <c r="I499" s="1">
        <v>45705</v>
      </c>
      <c r="J499" t="s">
        <v>19</v>
      </c>
      <c r="K499">
        <v>43</v>
      </c>
      <c r="L499">
        <v>27.3</v>
      </c>
      <c r="M499">
        <v>1173.9000000000001</v>
      </c>
      <c r="N499">
        <v>7</v>
      </c>
      <c r="O499">
        <f>Orders[[#This Row],[Actual_Ship_Date]]-Orders[[#This Row],[Expected_Ship_Date]]</f>
        <v>0</v>
      </c>
    </row>
    <row r="500" spans="1:15" x14ac:dyDescent="0.25">
      <c r="A500" t="s">
        <v>545</v>
      </c>
      <c r="B500" t="s">
        <v>78</v>
      </c>
      <c r="C500" t="s">
        <v>51</v>
      </c>
      <c r="D500" t="s">
        <v>59</v>
      </c>
      <c r="E500" t="s">
        <v>18</v>
      </c>
      <c r="F500" s="1">
        <v>45758</v>
      </c>
      <c r="G500" s="1">
        <v>45773</v>
      </c>
      <c r="H500" s="1">
        <v>45774</v>
      </c>
      <c r="I500" s="1">
        <v>45777</v>
      </c>
      <c r="J500" t="s">
        <v>27</v>
      </c>
      <c r="K500">
        <v>13</v>
      </c>
      <c r="L500">
        <v>290.76</v>
      </c>
      <c r="M500">
        <v>3779.88</v>
      </c>
      <c r="N500">
        <v>16</v>
      </c>
      <c r="O500">
        <f>Orders[[#This Row],[Actual_Ship_Date]]-Orders[[#This Row],[Expected_Ship_Date]]</f>
        <v>1</v>
      </c>
    </row>
    <row r="501" spans="1:15" x14ac:dyDescent="0.25">
      <c r="A501" t="s">
        <v>546</v>
      </c>
      <c r="B501" t="s">
        <v>29</v>
      </c>
      <c r="C501" t="s">
        <v>16</v>
      </c>
      <c r="D501" t="s">
        <v>22</v>
      </c>
      <c r="E501" t="s">
        <v>18</v>
      </c>
      <c r="F501" s="1">
        <v>45667</v>
      </c>
      <c r="G501" s="1">
        <v>45678</v>
      </c>
      <c r="H501" s="1">
        <v>45679</v>
      </c>
      <c r="I501" s="1">
        <v>45681</v>
      </c>
      <c r="J501" t="s">
        <v>32</v>
      </c>
      <c r="K501">
        <v>69</v>
      </c>
      <c r="L501">
        <v>697.4</v>
      </c>
      <c r="M501">
        <v>48120.6</v>
      </c>
      <c r="N501">
        <v>12</v>
      </c>
      <c r="O501">
        <f>Orders[[#This Row],[Actual_Ship_Date]]-Orders[[#This Row],[Expected_Ship_Date]]</f>
        <v>1</v>
      </c>
    </row>
    <row r="502" spans="1:15" x14ac:dyDescent="0.25">
      <c r="A502" t="s">
        <v>547</v>
      </c>
      <c r="B502" t="s">
        <v>45</v>
      </c>
      <c r="C502" t="s">
        <v>30</v>
      </c>
      <c r="D502" t="s">
        <v>39</v>
      </c>
      <c r="E502" t="s">
        <v>40</v>
      </c>
      <c r="F502" s="1">
        <v>45756</v>
      </c>
      <c r="G502" s="1">
        <v>45766</v>
      </c>
      <c r="H502" s="1">
        <v>45766</v>
      </c>
      <c r="I502" s="1">
        <v>45767</v>
      </c>
      <c r="J502" t="s">
        <v>19</v>
      </c>
      <c r="K502">
        <v>29</v>
      </c>
      <c r="L502">
        <v>450.15</v>
      </c>
      <c r="M502">
        <v>13054.35</v>
      </c>
      <c r="N502">
        <v>10</v>
      </c>
      <c r="O502">
        <f>Orders[[#This Row],[Actual_Ship_Date]]-Orders[[#This Row],[Expected_Ship_Date]]</f>
        <v>0</v>
      </c>
    </row>
    <row r="503" spans="1:15" x14ac:dyDescent="0.25">
      <c r="A503" t="s">
        <v>548</v>
      </c>
      <c r="B503" t="s">
        <v>24</v>
      </c>
      <c r="C503" t="s">
        <v>51</v>
      </c>
      <c r="D503" t="s">
        <v>22</v>
      </c>
      <c r="E503" t="s">
        <v>31</v>
      </c>
      <c r="F503" s="1">
        <v>45697</v>
      </c>
      <c r="G503" s="1">
        <v>45705</v>
      </c>
      <c r="H503" s="1">
        <v>45705</v>
      </c>
      <c r="I503" s="1">
        <v>45706</v>
      </c>
      <c r="J503" t="s">
        <v>19</v>
      </c>
      <c r="K503">
        <v>168</v>
      </c>
      <c r="L503">
        <v>264.51</v>
      </c>
      <c r="M503">
        <v>44437.68</v>
      </c>
      <c r="N503">
        <v>8</v>
      </c>
      <c r="O503">
        <f>Orders[[#This Row],[Actual_Ship_Date]]-Orders[[#This Row],[Expected_Ship_Date]]</f>
        <v>0</v>
      </c>
    </row>
    <row r="504" spans="1:15" x14ac:dyDescent="0.25">
      <c r="A504" t="s">
        <v>549</v>
      </c>
      <c r="B504" t="s">
        <v>38</v>
      </c>
      <c r="C504" t="s">
        <v>34</v>
      </c>
      <c r="D504" t="s">
        <v>35</v>
      </c>
      <c r="E504" t="s">
        <v>31</v>
      </c>
      <c r="F504" s="1">
        <v>45688</v>
      </c>
      <c r="G504" s="1">
        <v>45701</v>
      </c>
      <c r="H504" s="1">
        <v>45702</v>
      </c>
      <c r="I504" s="1">
        <v>45705</v>
      </c>
      <c r="J504" t="s">
        <v>32</v>
      </c>
      <c r="K504">
        <v>75</v>
      </c>
      <c r="L504">
        <v>503.22</v>
      </c>
      <c r="M504">
        <v>37741.5</v>
      </c>
      <c r="N504">
        <v>14</v>
      </c>
      <c r="O504">
        <f>Orders[[#This Row],[Actual_Ship_Date]]-Orders[[#This Row],[Expected_Ship_Date]]</f>
        <v>1</v>
      </c>
    </row>
    <row r="505" spans="1:15" x14ac:dyDescent="0.25">
      <c r="A505" t="s">
        <v>550</v>
      </c>
      <c r="B505" t="s">
        <v>42</v>
      </c>
      <c r="C505" t="s">
        <v>34</v>
      </c>
      <c r="D505" t="s">
        <v>22</v>
      </c>
      <c r="E505" t="s">
        <v>18</v>
      </c>
      <c r="F505" s="1">
        <v>45732</v>
      </c>
      <c r="G505" s="1">
        <v>45747</v>
      </c>
      <c r="H505" s="1">
        <v>45750</v>
      </c>
      <c r="I505" s="1">
        <v>45754</v>
      </c>
      <c r="J505" t="s">
        <v>27</v>
      </c>
      <c r="K505">
        <v>44</v>
      </c>
      <c r="L505">
        <v>325.12</v>
      </c>
      <c r="M505">
        <v>14305.28</v>
      </c>
      <c r="N505">
        <v>18</v>
      </c>
      <c r="O505">
        <f>Orders[[#This Row],[Actual_Ship_Date]]-Orders[[#This Row],[Expected_Ship_Date]]</f>
        <v>3</v>
      </c>
    </row>
    <row r="506" spans="1:15" x14ac:dyDescent="0.25">
      <c r="A506" t="s">
        <v>551</v>
      </c>
      <c r="B506" t="s">
        <v>29</v>
      </c>
      <c r="C506" t="s">
        <v>46</v>
      </c>
      <c r="D506" t="s">
        <v>22</v>
      </c>
      <c r="E506" t="s">
        <v>40</v>
      </c>
      <c r="F506" s="1">
        <v>45669</v>
      </c>
      <c r="G506" s="1">
        <v>45682</v>
      </c>
      <c r="H506" s="1">
        <v>45684</v>
      </c>
      <c r="I506" s="1">
        <v>45687</v>
      </c>
      <c r="J506" t="s">
        <v>27</v>
      </c>
      <c r="K506">
        <v>199</v>
      </c>
      <c r="L506">
        <v>536.99</v>
      </c>
      <c r="M506">
        <v>106861.01</v>
      </c>
      <c r="N506">
        <v>15</v>
      </c>
      <c r="O506">
        <f>Orders[[#This Row],[Actual_Ship_Date]]-Orders[[#This Row],[Expected_Ship_Date]]</f>
        <v>2</v>
      </c>
    </row>
    <row r="507" spans="1:15" x14ac:dyDescent="0.25">
      <c r="A507" t="s">
        <v>552</v>
      </c>
      <c r="B507" t="s">
        <v>24</v>
      </c>
      <c r="C507" t="s">
        <v>30</v>
      </c>
      <c r="D507" t="s">
        <v>22</v>
      </c>
      <c r="E507" t="s">
        <v>31</v>
      </c>
      <c r="F507" s="1">
        <v>45726</v>
      </c>
      <c r="G507" s="1">
        <v>45741</v>
      </c>
      <c r="H507" s="1">
        <v>45741</v>
      </c>
      <c r="I507" s="1">
        <v>45743</v>
      </c>
      <c r="J507" t="s">
        <v>36</v>
      </c>
      <c r="K507">
        <v>147</v>
      </c>
      <c r="L507">
        <v>673.45</v>
      </c>
      <c r="M507">
        <v>98997.15</v>
      </c>
      <c r="N507">
        <v>15</v>
      </c>
      <c r="O507">
        <f>Orders[[#This Row],[Actual_Ship_Date]]-Orders[[#This Row],[Expected_Ship_Date]]</f>
        <v>0</v>
      </c>
    </row>
    <row r="508" spans="1:15" x14ac:dyDescent="0.25">
      <c r="A508" t="s">
        <v>553</v>
      </c>
      <c r="B508" t="s">
        <v>15</v>
      </c>
      <c r="C508" t="s">
        <v>25</v>
      </c>
      <c r="D508" t="s">
        <v>17</v>
      </c>
      <c r="E508" t="s">
        <v>40</v>
      </c>
      <c r="F508" s="1">
        <v>45746</v>
      </c>
      <c r="G508" s="1">
        <v>45755</v>
      </c>
      <c r="H508" s="1">
        <v>45755</v>
      </c>
      <c r="I508" s="1">
        <v>45757</v>
      </c>
      <c r="J508" t="s">
        <v>36</v>
      </c>
      <c r="K508">
        <v>129</v>
      </c>
      <c r="L508">
        <v>605.03</v>
      </c>
      <c r="M508">
        <v>78048.87</v>
      </c>
      <c r="N508">
        <v>9</v>
      </c>
      <c r="O508">
        <f>Orders[[#This Row],[Actual_Ship_Date]]-Orders[[#This Row],[Expected_Ship_Date]]</f>
        <v>0</v>
      </c>
    </row>
    <row r="509" spans="1:15" x14ac:dyDescent="0.25">
      <c r="A509" t="s">
        <v>554</v>
      </c>
      <c r="B509" t="s">
        <v>56</v>
      </c>
      <c r="C509" t="s">
        <v>43</v>
      </c>
      <c r="D509" t="s">
        <v>35</v>
      </c>
      <c r="E509" t="s">
        <v>63</v>
      </c>
      <c r="F509" s="1">
        <v>45720</v>
      </c>
      <c r="G509" s="1">
        <v>45726</v>
      </c>
      <c r="H509" s="1">
        <v>45728</v>
      </c>
      <c r="I509" s="1">
        <v>45730</v>
      </c>
      <c r="J509" t="s">
        <v>27</v>
      </c>
      <c r="K509">
        <v>87</v>
      </c>
      <c r="L509">
        <v>626.55999999999995</v>
      </c>
      <c r="M509">
        <v>54510.720000000001</v>
      </c>
      <c r="N509">
        <v>8</v>
      </c>
      <c r="O509">
        <f>Orders[[#This Row],[Actual_Ship_Date]]-Orders[[#This Row],[Expected_Ship_Date]]</f>
        <v>2</v>
      </c>
    </row>
    <row r="510" spans="1:15" x14ac:dyDescent="0.25">
      <c r="A510" t="s">
        <v>555</v>
      </c>
      <c r="B510" t="s">
        <v>78</v>
      </c>
      <c r="C510" t="s">
        <v>51</v>
      </c>
      <c r="D510" t="s">
        <v>17</v>
      </c>
      <c r="E510" t="s">
        <v>57</v>
      </c>
      <c r="F510" s="1">
        <v>45677</v>
      </c>
      <c r="G510" s="1">
        <v>45687</v>
      </c>
      <c r="H510" s="1">
        <v>45687</v>
      </c>
      <c r="I510" s="1">
        <v>45690</v>
      </c>
      <c r="J510" t="s">
        <v>36</v>
      </c>
      <c r="K510">
        <v>168</v>
      </c>
      <c r="L510">
        <v>437.47</v>
      </c>
      <c r="M510">
        <v>73494.960000000006</v>
      </c>
      <c r="N510">
        <v>10</v>
      </c>
      <c r="O510">
        <f>Orders[[#This Row],[Actual_Ship_Date]]-Orders[[#This Row],[Expected_Ship_Date]]</f>
        <v>0</v>
      </c>
    </row>
    <row r="511" spans="1:15" x14ac:dyDescent="0.25">
      <c r="A511" t="s">
        <v>556</v>
      </c>
      <c r="B511" t="s">
        <v>45</v>
      </c>
      <c r="C511" t="s">
        <v>30</v>
      </c>
      <c r="D511" t="s">
        <v>17</v>
      </c>
      <c r="E511" t="s">
        <v>26</v>
      </c>
      <c r="F511" s="1">
        <v>45757</v>
      </c>
      <c r="G511" s="1">
        <v>45769</v>
      </c>
      <c r="H511" s="1">
        <v>45769</v>
      </c>
      <c r="I511" s="1">
        <v>45772</v>
      </c>
      <c r="J511" t="s">
        <v>19</v>
      </c>
      <c r="K511">
        <v>142</v>
      </c>
      <c r="L511">
        <v>698.91</v>
      </c>
      <c r="M511">
        <v>99245.22</v>
      </c>
      <c r="N511">
        <v>12</v>
      </c>
      <c r="O511">
        <f>Orders[[#This Row],[Actual_Ship_Date]]-Orders[[#This Row],[Expected_Ship_Date]]</f>
        <v>0</v>
      </c>
    </row>
    <row r="512" spans="1:15" x14ac:dyDescent="0.25">
      <c r="A512" t="s">
        <v>557</v>
      </c>
      <c r="B512" t="s">
        <v>29</v>
      </c>
      <c r="C512" t="s">
        <v>43</v>
      </c>
      <c r="D512" t="s">
        <v>22</v>
      </c>
      <c r="E512" t="s">
        <v>31</v>
      </c>
      <c r="F512" s="1">
        <v>45736</v>
      </c>
      <c r="G512" s="1">
        <v>45743</v>
      </c>
      <c r="H512" s="1">
        <v>45743</v>
      </c>
      <c r="I512" s="1">
        <v>45747</v>
      </c>
      <c r="J512" t="s">
        <v>32</v>
      </c>
      <c r="K512">
        <v>138</v>
      </c>
      <c r="L512">
        <v>565.16999999999996</v>
      </c>
      <c r="M512">
        <v>77993.460000000006</v>
      </c>
      <c r="N512">
        <v>7</v>
      </c>
      <c r="O512">
        <f>Orders[[#This Row],[Actual_Ship_Date]]-Orders[[#This Row],[Expected_Ship_Date]]</f>
        <v>0</v>
      </c>
    </row>
    <row r="513" spans="1:15" x14ac:dyDescent="0.25">
      <c r="A513" t="s">
        <v>558</v>
      </c>
      <c r="B513" t="s">
        <v>38</v>
      </c>
      <c r="C513" t="s">
        <v>30</v>
      </c>
      <c r="D513" t="s">
        <v>17</v>
      </c>
      <c r="E513" t="s">
        <v>63</v>
      </c>
      <c r="F513" s="1">
        <v>45683</v>
      </c>
      <c r="G513" s="1">
        <v>45687</v>
      </c>
      <c r="H513" s="1">
        <v>45688</v>
      </c>
      <c r="I513" s="1">
        <v>45690</v>
      </c>
      <c r="J513" t="s">
        <v>32</v>
      </c>
      <c r="K513">
        <v>151</v>
      </c>
      <c r="L513">
        <v>550.86</v>
      </c>
      <c r="M513">
        <v>83179.86</v>
      </c>
      <c r="N513">
        <v>5</v>
      </c>
      <c r="O513">
        <f>Orders[[#This Row],[Actual_Ship_Date]]-Orders[[#This Row],[Expected_Ship_Date]]</f>
        <v>1</v>
      </c>
    </row>
    <row r="514" spans="1:15" x14ac:dyDescent="0.25">
      <c r="A514" t="s">
        <v>559</v>
      </c>
      <c r="B514" t="s">
        <v>45</v>
      </c>
      <c r="C514" t="s">
        <v>30</v>
      </c>
      <c r="D514" t="s">
        <v>35</v>
      </c>
      <c r="E514" t="s">
        <v>18</v>
      </c>
      <c r="F514" s="1">
        <v>45747</v>
      </c>
      <c r="G514" s="1">
        <v>45759</v>
      </c>
      <c r="H514" s="1">
        <v>45759</v>
      </c>
      <c r="I514" s="1">
        <v>45760</v>
      </c>
      <c r="J514" t="s">
        <v>36</v>
      </c>
      <c r="K514">
        <v>188</v>
      </c>
      <c r="L514">
        <v>74.180000000000007</v>
      </c>
      <c r="M514">
        <v>13945.84</v>
      </c>
      <c r="N514">
        <v>12</v>
      </c>
      <c r="O514">
        <f>Orders[[#This Row],[Actual_Ship_Date]]-Orders[[#This Row],[Expected_Ship_Date]]</f>
        <v>0</v>
      </c>
    </row>
    <row r="515" spans="1:15" x14ac:dyDescent="0.25">
      <c r="A515" t="s">
        <v>560</v>
      </c>
      <c r="B515" t="s">
        <v>48</v>
      </c>
      <c r="C515" t="s">
        <v>25</v>
      </c>
      <c r="D515" t="s">
        <v>17</v>
      </c>
      <c r="E515" t="s">
        <v>31</v>
      </c>
      <c r="F515" s="1">
        <v>45760</v>
      </c>
      <c r="G515" s="1">
        <v>45773</v>
      </c>
      <c r="H515" s="1">
        <v>45773</v>
      </c>
      <c r="I515" s="1">
        <v>45776</v>
      </c>
      <c r="J515" t="s">
        <v>36</v>
      </c>
      <c r="K515">
        <v>186</v>
      </c>
      <c r="L515">
        <v>63.68</v>
      </c>
      <c r="M515">
        <v>11844.48</v>
      </c>
      <c r="N515">
        <v>13</v>
      </c>
      <c r="O515">
        <f>Orders[[#This Row],[Actual_Ship_Date]]-Orders[[#This Row],[Expected_Ship_Date]]</f>
        <v>0</v>
      </c>
    </row>
    <row r="516" spans="1:15" x14ac:dyDescent="0.25">
      <c r="A516" t="s">
        <v>561</v>
      </c>
      <c r="B516" t="s">
        <v>42</v>
      </c>
      <c r="C516" t="s">
        <v>16</v>
      </c>
      <c r="D516" t="s">
        <v>22</v>
      </c>
      <c r="E516" t="s">
        <v>63</v>
      </c>
      <c r="F516" s="1">
        <v>45751</v>
      </c>
      <c r="G516" s="1">
        <v>45755</v>
      </c>
      <c r="H516" s="1">
        <v>45760</v>
      </c>
      <c r="I516" s="1">
        <v>45763</v>
      </c>
      <c r="J516" t="s">
        <v>32</v>
      </c>
      <c r="K516">
        <v>60</v>
      </c>
      <c r="L516">
        <v>817.09</v>
      </c>
      <c r="M516">
        <v>49025.4</v>
      </c>
      <c r="N516">
        <v>9</v>
      </c>
      <c r="O516">
        <f>Orders[[#This Row],[Actual_Ship_Date]]-Orders[[#This Row],[Expected_Ship_Date]]</f>
        <v>5</v>
      </c>
    </row>
    <row r="517" spans="1:15" x14ac:dyDescent="0.25">
      <c r="A517" t="s">
        <v>562</v>
      </c>
      <c r="B517" t="s">
        <v>15</v>
      </c>
      <c r="C517" t="s">
        <v>21</v>
      </c>
      <c r="D517" t="s">
        <v>35</v>
      </c>
      <c r="E517" t="s">
        <v>40</v>
      </c>
      <c r="F517" s="1">
        <v>45707</v>
      </c>
      <c r="G517" s="1">
        <v>45713</v>
      </c>
      <c r="H517" s="1">
        <v>45713</v>
      </c>
      <c r="I517" s="1">
        <v>45718</v>
      </c>
      <c r="J517" t="s">
        <v>19</v>
      </c>
      <c r="K517">
        <v>50</v>
      </c>
      <c r="L517">
        <v>481.28</v>
      </c>
      <c r="M517">
        <v>24064</v>
      </c>
      <c r="N517">
        <v>6</v>
      </c>
      <c r="O517">
        <f>Orders[[#This Row],[Actual_Ship_Date]]-Orders[[#This Row],[Expected_Ship_Date]]</f>
        <v>0</v>
      </c>
    </row>
    <row r="518" spans="1:15" x14ac:dyDescent="0.25">
      <c r="A518" t="s">
        <v>563</v>
      </c>
      <c r="B518" t="s">
        <v>78</v>
      </c>
      <c r="C518" t="s">
        <v>43</v>
      </c>
      <c r="D518" t="s">
        <v>17</v>
      </c>
      <c r="E518" t="s">
        <v>18</v>
      </c>
      <c r="F518" s="1">
        <v>45731</v>
      </c>
      <c r="G518" s="1">
        <v>45739</v>
      </c>
      <c r="H518" s="1">
        <v>45742</v>
      </c>
      <c r="I518" s="1">
        <v>45746</v>
      </c>
      <c r="J518" t="s">
        <v>27</v>
      </c>
      <c r="K518">
        <v>114</v>
      </c>
      <c r="L518">
        <v>752.16</v>
      </c>
      <c r="M518">
        <v>85746.240000000005</v>
      </c>
      <c r="N518">
        <v>11</v>
      </c>
      <c r="O518">
        <f>Orders[[#This Row],[Actual_Ship_Date]]-Orders[[#This Row],[Expected_Ship_Date]]</f>
        <v>3</v>
      </c>
    </row>
    <row r="519" spans="1:15" x14ac:dyDescent="0.25">
      <c r="A519" t="s">
        <v>564</v>
      </c>
      <c r="B519" t="s">
        <v>24</v>
      </c>
      <c r="C519" t="s">
        <v>46</v>
      </c>
      <c r="D519" t="s">
        <v>17</v>
      </c>
      <c r="E519" t="s">
        <v>57</v>
      </c>
      <c r="F519" s="1">
        <v>45722</v>
      </c>
      <c r="G519" s="1">
        <v>45730</v>
      </c>
      <c r="H519" s="1">
        <v>45733</v>
      </c>
      <c r="I519" s="1">
        <v>45735</v>
      </c>
      <c r="J519" t="s">
        <v>27</v>
      </c>
      <c r="K519">
        <v>158</v>
      </c>
      <c r="L519">
        <v>384.92</v>
      </c>
      <c r="M519">
        <v>60817.36</v>
      </c>
      <c r="N519">
        <v>11</v>
      </c>
      <c r="O519">
        <f>Orders[[#This Row],[Actual_Ship_Date]]-Orders[[#This Row],[Expected_Ship_Date]]</f>
        <v>3</v>
      </c>
    </row>
    <row r="520" spans="1:15" x14ac:dyDescent="0.25">
      <c r="A520" t="s">
        <v>565</v>
      </c>
      <c r="B520" t="s">
        <v>48</v>
      </c>
      <c r="C520" t="s">
        <v>34</v>
      </c>
      <c r="D520" t="s">
        <v>39</v>
      </c>
      <c r="E520" t="s">
        <v>63</v>
      </c>
      <c r="F520" s="1">
        <v>45766</v>
      </c>
      <c r="G520" s="1">
        <v>45774</v>
      </c>
      <c r="H520" s="1">
        <v>45775</v>
      </c>
      <c r="I520" s="1">
        <v>45779</v>
      </c>
      <c r="J520" t="s">
        <v>27</v>
      </c>
      <c r="K520">
        <v>87</v>
      </c>
      <c r="L520">
        <v>523.03</v>
      </c>
      <c r="M520">
        <v>45503.61</v>
      </c>
      <c r="N520">
        <v>9</v>
      </c>
      <c r="O520">
        <f>Orders[[#This Row],[Actual_Ship_Date]]-Orders[[#This Row],[Expected_Ship_Date]]</f>
        <v>1</v>
      </c>
    </row>
    <row r="521" spans="1:15" x14ac:dyDescent="0.25">
      <c r="A521" t="s">
        <v>566</v>
      </c>
      <c r="B521" t="s">
        <v>29</v>
      </c>
      <c r="C521" t="s">
        <v>25</v>
      </c>
      <c r="D521" t="s">
        <v>17</v>
      </c>
      <c r="E521" t="s">
        <v>31</v>
      </c>
      <c r="F521" s="1">
        <v>45776</v>
      </c>
      <c r="G521" s="1">
        <v>45790</v>
      </c>
      <c r="H521" s="1">
        <v>45790</v>
      </c>
      <c r="I521" s="1">
        <v>45793</v>
      </c>
      <c r="J521" t="s">
        <v>36</v>
      </c>
      <c r="K521">
        <v>106</v>
      </c>
      <c r="L521">
        <v>15.16</v>
      </c>
      <c r="M521">
        <v>1606.96</v>
      </c>
      <c r="N521">
        <v>14</v>
      </c>
      <c r="O521">
        <f>Orders[[#This Row],[Actual_Ship_Date]]-Orders[[#This Row],[Expected_Ship_Date]]</f>
        <v>0</v>
      </c>
    </row>
    <row r="522" spans="1:15" x14ac:dyDescent="0.25">
      <c r="A522" t="s">
        <v>567</v>
      </c>
      <c r="B522" t="s">
        <v>29</v>
      </c>
      <c r="C522" t="s">
        <v>25</v>
      </c>
      <c r="D522" t="s">
        <v>17</v>
      </c>
      <c r="E522" t="s">
        <v>63</v>
      </c>
      <c r="F522" s="1">
        <v>45724</v>
      </c>
      <c r="G522" s="1">
        <v>45729</v>
      </c>
      <c r="H522" s="1">
        <v>45729</v>
      </c>
      <c r="I522" s="1">
        <v>45730</v>
      </c>
      <c r="J522" t="s">
        <v>36</v>
      </c>
      <c r="K522">
        <v>59</v>
      </c>
      <c r="L522">
        <v>729.53</v>
      </c>
      <c r="M522">
        <v>43042.27</v>
      </c>
      <c r="N522">
        <v>5</v>
      </c>
      <c r="O522">
        <f>Orders[[#This Row],[Actual_Ship_Date]]-Orders[[#This Row],[Expected_Ship_Date]]</f>
        <v>0</v>
      </c>
    </row>
    <row r="523" spans="1:15" x14ac:dyDescent="0.25">
      <c r="A523" t="s">
        <v>568</v>
      </c>
      <c r="B523" t="s">
        <v>78</v>
      </c>
      <c r="C523" t="s">
        <v>25</v>
      </c>
      <c r="D523" t="s">
        <v>59</v>
      </c>
      <c r="E523" t="s">
        <v>63</v>
      </c>
      <c r="F523" s="1">
        <v>45729</v>
      </c>
      <c r="G523" s="1">
        <v>45741</v>
      </c>
      <c r="H523" s="1">
        <v>45743</v>
      </c>
      <c r="I523" s="1">
        <v>45745</v>
      </c>
      <c r="J523" t="s">
        <v>32</v>
      </c>
      <c r="K523">
        <v>122</v>
      </c>
      <c r="L523">
        <v>311.97000000000003</v>
      </c>
      <c r="M523">
        <v>38060.339999999997</v>
      </c>
      <c r="N523">
        <v>14</v>
      </c>
      <c r="O523">
        <f>Orders[[#This Row],[Actual_Ship_Date]]-Orders[[#This Row],[Expected_Ship_Date]]</f>
        <v>2</v>
      </c>
    </row>
    <row r="524" spans="1:15" x14ac:dyDescent="0.25">
      <c r="A524" t="s">
        <v>569</v>
      </c>
      <c r="B524" t="s">
        <v>42</v>
      </c>
      <c r="C524" t="s">
        <v>46</v>
      </c>
      <c r="D524" t="s">
        <v>39</v>
      </c>
      <c r="E524" t="s">
        <v>26</v>
      </c>
      <c r="F524" s="1">
        <v>45689</v>
      </c>
      <c r="G524" s="1">
        <v>45695</v>
      </c>
      <c r="H524" s="1">
        <v>45695</v>
      </c>
      <c r="I524" s="1">
        <v>45698</v>
      </c>
      <c r="J524" t="s">
        <v>19</v>
      </c>
      <c r="K524">
        <v>150</v>
      </c>
      <c r="L524">
        <v>781.43</v>
      </c>
      <c r="M524">
        <v>117214.5</v>
      </c>
      <c r="N524">
        <v>6</v>
      </c>
      <c r="O524">
        <f>Orders[[#This Row],[Actual_Ship_Date]]-Orders[[#This Row],[Expected_Ship_Date]]</f>
        <v>0</v>
      </c>
    </row>
    <row r="525" spans="1:15" x14ac:dyDescent="0.25">
      <c r="A525" t="s">
        <v>570</v>
      </c>
      <c r="B525" t="s">
        <v>56</v>
      </c>
      <c r="C525" t="s">
        <v>51</v>
      </c>
      <c r="D525" t="s">
        <v>17</v>
      </c>
      <c r="E525" t="s">
        <v>18</v>
      </c>
      <c r="F525" s="1">
        <v>45720</v>
      </c>
      <c r="G525" s="1">
        <v>45734</v>
      </c>
      <c r="H525" s="1">
        <v>45737</v>
      </c>
      <c r="I525" s="1">
        <v>45742</v>
      </c>
      <c r="J525" t="s">
        <v>27</v>
      </c>
      <c r="K525">
        <v>29</v>
      </c>
      <c r="L525">
        <v>512.02</v>
      </c>
      <c r="M525">
        <v>14848.58</v>
      </c>
      <c r="N525">
        <v>17</v>
      </c>
      <c r="O525">
        <f>Orders[[#This Row],[Actual_Ship_Date]]-Orders[[#This Row],[Expected_Ship_Date]]</f>
        <v>3</v>
      </c>
    </row>
    <row r="526" spans="1:15" x14ac:dyDescent="0.25">
      <c r="A526" t="s">
        <v>571</v>
      </c>
      <c r="B526" t="s">
        <v>42</v>
      </c>
      <c r="C526" t="s">
        <v>34</v>
      </c>
      <c r="D526" t="s">
        <v>17</v>
      </c>
      <c r="E526" t="s">
        <v>31</v>
      </c>
      <c r="F526" s="1">
        <v>45668</v>
      </c>
      <c r="G526" s="1">
        <v>45683</v>
      </c>
      <c r="H526" s="1">
        <v>45683</v>
      </c>
      <c r="I526" s="1">
        <v>45686</v>
      </c>
      <c r="J526" t="s">
        <v>36</v>
      </c>
      <c r="K526">
        <v>116</v>
      </c>
      <c r="L526">
        <v>362.8</v>
      </c>
      <c r="M526">
        <v>42084.800000000003</v>
      </c>
      <c r="N526">
        <v>15</v>
      </c>
      <c r="O526">
        <f>Orders[[#This Row],[Actual_Ship_Date]]-Orders[[#This Row],[Expected_Ship_Date]]</f>
        <v>0</v>
      </c>
    </row>
    <row r="527" spans="1:15" x14ac:dyDescent="0.25">
      <c r="A527" t="s">
        <v>572</v>
      </c>
      <c r="B527" t="s">
        <v>15</v>
      </c>
      <c r="C527" t="s">
        <v>43</v>
      </c>
      <c r="D527" t="s">
        <v>59</v>
      </c>
      <c r="E527" t="s">
        <v>63</v>
      </c>
      <c r="F527" s="1">
        <v>45739</v>
      </c>
      <c r="G527" s="1">
        <v>45754</v>
      </c>
      <c r="H527" s="1">
        <v>45757</v>
      </c>
      <c r="I527" s="1">
        <v>45761</v>
      </c>
      <c r="J527" t="s">
        <v>32</v>
      </c>
      <c r="K527">
        <v>139</v>
      </c>
      <c r="L527">
        <v>49.39</v>
      </c>
      <c r="M527">
        <v>6865.21</v>
      </c>
      <c r="N527">
        <v>18</v>
      </c>
      <c r="O527">
        <f>Orders[[#This Row],[Actual_Ship_Date]]-Orders[[#This Row],[Expected_Ship_Date]]</f>
        <v>3</v>
      </c>
    </row>
    <row r="528" spans="1:15" x14ac:dyDescent="0.25">
      <c r="A528" t="s">
        <v>573</v>
      </c>
      <c r="B528" t="s">
        <v>15</v>
      </c>
      <c r="C528" t="s">
        <v>16</v>
      </c>
      <c r="D528" t="s">
        <v>22</v>
      </c>
      <c r="E528" t="s">
        <v>18</v>
      </c>
      <c r="F528" s="1">
        <v>45747</v>
      </c>
      <c r="G528" s="1">
        <v>45753</v>
      </c>
      <c r="H528" s="1">
        <v>45753</v>
      </c>
      <c r="I528" s="1">
        <v>45754</v>
      </c>
      <c r="J528" t="s">
        <v>36</v>
      </c>
      <c r="K528">
        <v>197</v>
      </c>
      <c r="L528">
        <v>511.94</v>
      </c>
      <c r="M528">
        <v>100852.18</v>
      </c>
      <c r="N528">
        <v>6</v>
      </c>
      <c r="O528">
        <f>Orders[[#This Row],[Actual_Ship_Date]]-Orders[[#This Row],[Expected_Ship_Date]]</f>
        <v>0</v>
      </c>
    </row>
    <row r="529" spans="1:15" x14ac:dyDescent="0.25">
      <c r="A529" t="s">
        <v>574</v>
      </c>
      <c r="B529" t="s">
        <v>29</v>
      </c>
      <c r="C529" t="s">
        <v>21</v>
      </c>
      <c r="D529" t="s">
        <v>59</v>
      </c>
      <c r="E529" t="s">
        <v>31</v>
      </c>
      <c r="F529" s="1">
        <v>45695</v>
      </c>
      <c r="G529" s="1">
        <v>45710</v>
      </c>
      <c r="H529" s="1">
        <v>45711</v>
      </c>
      <c r="I529" s="1">
        <v>45713</v>
      </c>
      <c r="J529" t="s">
        <v>32</v>
      </c>
      <c r="K529">
        <v>26</v>
      </c>
      <c r="L529">
        <v>412.34</v>
      </c>
      <c r="M529">
        <v>10720.84</v>
      </c>
      <c r="N529">
        <v>16</v>
      </c>
      <c r="O529">
        <f>Orders[[#This Row],[Actual_Ship_Date]]-Orders[[#This Row],[Expected_Ship_Date]]</f>
        <v>1</v>
      </c>
    </row>
    <row r="530" spans="1:15" x14ac:dyDescent="0.25">
      <c r="A530" t="s">
        <v>575</v>
      </c>
      <c r="B530" t="s">
        <v>53</v>
      </c>
      <c r="C530" t="s">
        <v>21</v>
      </c>
      <c r="D530" t="s">
        <v>17</v>
      </c>
      <c r="E530" t="s">
        <v>26</v>
      </c>
      <c r="F530" s="1">
        <v>45709</v>
      </c>
      <c r="G530" s="1">
        <v>45720</v>
      </c>
      <c r="H530" s="1">
        <v>45721</v>
      </c>
      <c r="I530" s="1">
        <v>45723</v>
      </c>
      <c r="J530" t="s">
        <v>27</v>
      </c>
      <c r="K530">
        <v>128</v>
      </c>
      <c r="L530">
        <v>482.01</v>
      </c>
      <c r="M530">
        <v>61697.279999999999</v>
      </c>
      <c r="N530">
        <v>12</v>
      </c>
      <c r="O530">
        <f>Orders[[#This Row],[Actual_Ship_Date]]-Orders[[#This Row],[Expected_Ship_Date]]</f>
        <v>1</v>
      </c>
    </row>
    <row r="531" spans="1:15" x14ac:dyDescent="0.25">
      <c r="A531" t="s">
        <v>576</v>
      </c>
      <c r="B531" t="s">
        <v>38</v>
      </c>
      <c r="C531" t="s">
        <v>46</v>
      </c>
      <c r="D531" t="s">
        <v>17</v>
      </c>
      <c r="E531" t="s">
        <v>31</v>
      </c>
      <c r="F531" s="1">
        <v>45729</v>
      </c>
      <c r="G531" s="1">
        <v>45741</v>
      </c>
      <c r="H531" s="1">
        <v>45744</v>
      </c>
      <c r="I531" s="1">
        <v>45749</v>
      </c>
      <c r="J531" t="s">
        <v>27</v>
      </c>
      <c r="K531">
        <v>23</v>
      </c>
      <c r="L531">
        <v>237.32</v>
      </c>
      <c r="M531">
        <v>5458.36</v>
      </c>
      <c r="N531">
        <v>15</v>
      </c>
      <c r="O531">
        <f>Orders[[#This Row],[Actual_Ship_Date]]-Orders[[#This Row],[Expected_Ship_Date]]</f>
        <v>3</v>
      </c>
    </row>
    <row r="532" spans="1:15" x14ac:dyDescent="0.25">
      <c r="A532" t="s">
        <v>577</v>
      </c>
      <c r="B532" t="s">
        <v>48</v>
      </c>
      <c r="C532" t="s">
        <v>51</v>
      </c>
      <c r="D532" t="s">
        <v>59</v>
      </c>
      <c r="E532" t="s">
        <v>26</v>
      </c>
      <c r="F532" s="1">
        <v>45672</v>
      </c>
      <c r="G532" s="1">
        <v>45685</v>
      </c>
      <c r="H532" s="1">
        <v>45686</v>
      </c>
      <c r="I532" s="1">
        <v>45690</v>
      </c>
      <c r="J532" t="s">
        <v>27</v>
      </c>
      <c r="K532">
        <v>53</v>
      </c>
      <c r="L532">
        <v>282.82</v>
      </c>
      <c r="M532">
        <v>14989.46</v>
      </c>
      <c r="N532">
        <v>14</v>
      </c>
      <c r="O532">
        <f>Orders[[#This Row],[Actual_Ship_Date]]-Orders[[#This Row],[Expected_Ship_Date]]</f>
        <v>1</v>
      </c>
    </row>
    <row r="533" spans="1:15" x14ac:dyDescent="0.25">
      <c r="A533" t="s">
        <v>578</v>
      </c>
      <c r="B533" t="s">
        <v>45</v>
      </c>
      <c r="C533" t="s">
        <v>34</v>
      </c>
      <c r="D533" t="s">
        <v>59</v>
      </c>
      <c r="E533" t="s">
        <v>26</v>
      </c>
      <c r="F533" s="1">
        <v>45702</v>
      </c>
      <c r="G533" s="1">
        <v>45714</v>
      </c>
      <c r="H533" s="1">
        <v>45719</v>
      </c>
      <c r="I533" s="1">
        <v>45723</v>
      </c>
      <c r="J533" t="s">
        <v>27</v>
      </c>
      <c r="K533">
        <v>117</v>
      </c>
      <c r="L533">
        <v>52.47</v>
      </c>
      <c r="M533">
        <v>6138.99</v>
      </c>
      <c r="N533">
        <v>17</v>
      </c>
      <c r="O533">
        <f>Orders[[#This Row],[Actual_Ship_Date]]-Orders[[#This Row],[Expected_Ship_Date]]</f>
        <v>5</v>
      </c>
    </row>
    <row r="534" spans="1:15" x14ac:dyDescent="0.25">
      <c r="A534" t="s">
        <v>579</v>
      </c>
      <c r="B534" t="s">
        <v>48</v>
      </c>
      <c r="C534" t="s">
        <v>43</v>
      </c>
      <c r="D534" t="s">
        <v>59</v>
      </c>
      <c r="E534" t="s">
        <v>31</v>
      </c>
      <c r="F534" s="1">
        <v>45754</v>
      </c>
      <c r="G534" s="1">
        <v>45768</v>
      </c>
      <c r="H534" s="1">
        <v>45773</v>
      </c>
      <c r="I534" s="1">
        <v>45774</v>
      </c>
      <c r="J534" t="s">
        <v>32</v>
      </c>
      <c r="K534">
        <v>18</v>
      </c>
      <c r="L534">
        <v>217.95</v>
      </c>
      <c r="M534">
        <v>3923.1</v>
      </c>
      <c r="N534">
        <v>19</v>
      </c>
      <c r="O534">
        <f>Orders[[#This Row],[Actual_Ship_Date]]-Orders[[#This Row],[Expected_Ship_Date]]</f>
        <v>5</v>
      </c>
    </row>
    <row r="535" spans="1:15" x14ac:dyDescent="0.25">
      <c r="A535" t="s">
        <v>580</v>
      </c>
      <c r="B535" t="s">
        <v>45</v>
      </c>
      <c r="C535" t="s">
        <v>34</v>
      </c>
      <c r="D535" t="s">
        <v>22</v>
      </c>
      <c r="E535" t="s">
        <v>63</v>
      </c>
      <c r="F535" s="1">
        <v>45701</v>
      </c>
      <c r="G535" s="1">
        <v>45715</v>
      </c>
      <c r="H535" s="1">
        <v>45720</v>
      </c>
      <c r="I535" s="1">
        <v>45721</v>
      </c>
      <c r="J535" t="s">
        <v>27</v>
      </c>
      <c r="K535">
        <v>125</v>
      </c>
      <c r="L535">
        <v>33.99</v>
      </c>
      <c r="M535">
        <v>4248.75</v>
      </c>
      <c r="N535">
        <v>19</v>
      </c>
      <c r="O535">
        <f>Orders[[#This Row],[Actual_Ship_Date]]-Orders[[#This Row],[Expected_Ship_Date]]</f>
        <v>5</v>
      </c>
    </row>
    <row r="536" spans="1:15" x14ac:dyDescent="0.25">
      <c r="A536" t="s">
        <v>581</v>
      </c>
      <c r="B536" t="s">
        <v>29</v>
      </c>
      <c r="C536" t="s">
        <v>21</v>
      </c>
      <c r="D536" t="s">
        <v>17</v>
      </c>
      <c r="E536" t="s">
        <v>40</v>
      </c>
      <c r="F536" s="1">
        <v>45724</v>
      </c>
      <c r="G536" s="1">
        <v>45739</v>
      </c>
      <c r="H536" s="1">
        <v>45739</v>
      </c>
      <c r="I536" s="1">
        <v>45744</v>
      </c>
      <c r="J536" t="s">
        <v>36</v>
      </c>
      <c r="K536">
        <v>41</v>
      </c>
      <c r="L536">
        <v>595.38</v>
      </c>
      <c r="M536">
        <v>24410.58</v>
      </c>
      <c r="N536">
        <v>15</v>
      </c>
      <c r="O536">
        <f>Orders[[#This Row],[Actual_Ship_Date]]-Orders[[#This Row],[Expected_Ship_Date]]</f>
        <v>0</v>
      </c>
    </row>
    <row r="537" spans="1:15" x14ac:dyDescent="0.25">
      <c r="A537" t="s">
        <v>582</v>
      </c>
      <c r="B537" t="s">
        <v>29</v>
      </c>
      <c r="C537" t="s">
        <v>30</v>
      </c>
      <c r="D537" t="s">
        <v>35</v>
      </c>
      <c r="E537" t="s">
        <v>31</v>
      </c>
      <c r="F537" s="1">
        <v>45725</v>
      </c>
      <c r="G537" s="1">
        <v>45728</v>
      </c>
      <c r="H537" s="1">
        <v>45728</v>
      </c>
      <c r="I537" s="1">
        <v>45730</v>
      </c>
      <c r="J537" t="s">
        <v>19</v>
      </c>
      <c r="K537">
        <v>183</v>
      </c>
      <c r="L537">
        <v>531</v>
      </c>
      <c r="M537">
        <v>97173</v>
      </c>
      <c r="N537">
        <v>3</v>
      </c>
      <c r="O537">
        <f>Orders[[#This Row],[Actual_Ship_Date]]-Orders[[#This Row],[Expected_Ship_Date]]</f>
        <v>0</v>
      </c>
    </row>
    <row r="538" spans="1:15" x14ac:dyDescent="0.25">
      <c r="A538" t="s">
        <v>583</v>
      </c>
      <c r="B538" t="s">
        <v>38</v>
      </c>
      <c r="C538" t="s">
        <v>16</v>
      </c>
      <c r="D538" t="s">
        <v>59</v>
      </c>
      <c r="E538" t="s">
        <v>18</v>
      </c>
      <c r="F538" s="1">
        <v>45707</v>
      </c>
      <c r="G538" s="1">
        <v>45720</v>
      </c>
      <c r="H538" s="1">
        <v>45720</v>
      </c>
      <c r="I538" s="1">
        <v>45723</v>
      </c>
      <c r="J538" t="s">
        <v>32</v>
      </c>
      <c r="K538">
        <v>171</v>
      </c>
      <c r="L538">
        <v>337.75</v>
      </c>
      <c r="M538">
        <v>57755.25</v>
      </c>
      <c r="N538">
        <v>13</v>
      </c>
      <c r="O538">
        <f>Orders[[#This Row],[Actual_Ship_Date]]-Orders[[#This Row],[Expected_Ship_Date]]</f>
        <v>0</v>
      </c>
    </row>
    <row r="539" spans="1:15" x14ac:dyDescent="0.25">
      <c r="A539" t="s">
        <v>584</v>
      </c>
      <c r="B539" t="s">
        <v>15</v>
      </c>
      <c r="C539" t="s">
        <v>51</v>
      </c>
      <c r="D539" t="s">
        <v>35</v>
      </c>
      <c r="E539" t="s">
        <v>26</v>
      </c>
      <c r="F539" s="1">
        <v>45768</v>
      </c>
      <c r="G539" s="1">
        <v>45780</v>
      </c>
      <c r="H539" s="1">
        <v>45782</v>
      </c>
      <c r="I539" s="1">
        <v>45783</v>
      </c>
      <c r="J539" t="s">
        <v>32</v>
      </c>
      <c r="K539">
        <v>133</v>
      </c>
      <c r="L539">
        <v>822.27</v>
      </c>
      <c r="M539">
        <v>109361.91</v>
      </c>
      <c r="N539">
        <v>14</v>
      </c>
      <c r="O539">
        <f>Orders[[#This Row],[Actual_Ship_Date]]-Orders[[#This Row],[Expected_Ship_Date]]</f>
        <v>2</v>
      </c>
    </row>
    <row r="540" spans="1:15" x14ac:dyDescent="0.25">
      <c r="A540" t="s">
        <v>585</v>
      </c>
      <c r="B540" t="s">
        <v>24</v>
      </c>
      <c r="C540" t="s">
        <v>46</v>
      </c>
      <c r="D540" t="s">
        <v>59</v>
      </c>
      <c r="E540" t="s">
        <v>26</v>
      </c>
      <c r="F540" s="1">
        <v>45776</v>
      </c>
      <c r="G540" s="1">
        <v>45787</v>
      </c>
      <c r="H540" s="1">
        <v>45787</v>
      </c>
      <c r="I540" s="1">
        <v>45790</v>
      </c>
      <c r="J540" t="s">
        <v>36</v>
      </c>
      <c r="K540">
        <v>45</v>
      </c>
      <c r="L540">
        <v>30.34</v>
      </c>
      <c r="M540">
        <v>1365.3</v>
      </c>
      <c r="N540">
        <v>11</v>
      </c>
      <c r="O540">
        <f>Orders[[#This Row],[Actual_Ship_Date]]-Orders[[#This Row],[Expected_Ship_Date]]</f>
        <v>0</v>
      </c>
    </row>
    <row r="541" spans="1:15" x14ac:dyDescent="0.25">
      <c r="A541" t="s">
        <v>586</v>
      </c>
      <c r="B541" t="s">
        <v>29</v>
      </c>
      <c r="C541" t="s">
        <v>25</v>
      </c>
      <c r="D541" t="s">
        <v>22</v>
      </c>
      <c r="E541" t="s">
        <v>26</v>
      </c>
      <c r="F541" s="1">
        <v>45722</v>
      </c>
      <c r="G541" s="1">
        <v>45729</v>
      </c>
      <c r="H541" s="1">
        <v>45734</v>
      </c>
      <c r="I541" s="1">
        <v>45735</v>
      </c>
      <c r="J541" t="s">
        <v>27</v>
      </c>
      <c r="K541">
        <v>104</v>
      </c>
      <c r="L541">
        <v>758.49</v>
      </c>
      <c r="M541">
        <v>78882.960000000006</v>
      </c>
      <c r="N541">
        <v>12</v>
      </c>
      <c r="O541">
        <f>Orders[[#This Row],[Actual_Ship_Date]]-Orders[[#This Row],[Expected_Ship_Date]]</f>
        <v>5</v>
      </c>
    </row>
    <row r="542" spans="1:15" x14ac:dyDescent="0.25">
      <c r="A542" t="s">
        <v>587</v>
      </c>
      <c r="B542" t="s">
        <v>48</v>
      </c>
      <c r="C542" t="s">
        <v>34</v>
      </c>
      <c r="D542" t="s">
        <v>39</v>
      </c>
      <c r="E542" t="s">
        <v>26</v>
      </c>
      <c r="F542" s="1">
        <v>45701</v>
      </c>
      <c r="G542" s="1">
        <v>45710</v>
      </c>
      <c r="H542" s="1">
        <v>45713</v>
      </c>
      <c r="I542" s="1">
        <v>45715</v>
      </c>
      <c r="J542" t="s">
        <v>32</v>
      </c>
      <c r="K542">
        <v>102</v>
      </c>
      <c r="L542">
        <v>449.8</v>
      </c>
      <c r="M542">
        <v>45879.6</v>
      </c>
      <c r="N542">
        <v>12</v>
      </c>
      <c r="O542">
        <f>Orders[[#This Row],[Actual_Ship_Date]]-Orders[[#This Row],[Expected_Ship_Date]]</f>
        <v>3</v>
      </c>
    </row>
    <row r="543" spans="1:15" x14ac:dyDescent="0.25">
      <c r="A543" t="s">
        <v>588</v>
      </c>
      <c r="B543" t="s">
        <v>78</v>
      </c>
      <c r="C543" t="s">
        <v>34</v>
      </c>
      <c r="D543" t="s">
        <v>22</v>
      </c>
      <c r="E543" t="s">
        <v>63</v>
      </c>
      <c r="F543" s="1">
        <v>45731</v>
      </c>
      <c r="G543" s="1">
        <v>45736</v>
      </c>
      <c r="H543" s="1">
        <v>45737</v>
      </c>
      <c r="I543" s="1">
        <v>45740</v>
      </c>
      <c r="J543" t="s">
        <v>27</v>
      </c>
      <c r="K543">
        <v>89</v>
      </c>
      <c r="L543">
        <v>390.06</v>
      </c>
      <c r="M543">
        <v>34715.339999999997</v>
      </c>
      <c r="N543">
        <v>6</v>
      </c>
      <c r="O543">
        <f>Orders[[#This Row],[Actual_Ship_Date]]-Orders[[#This Row],[Expected_Ship_Date]]</f>
        <v>1</v>
      </c>
    </row>
    <row r="544" spans="1:15" x14ac:dyDescent="0.25">
      <c r="A544" t="s">
        <v>589</v>
      </c>
      <c r="B544" t="s">
        <v>15</v>
      </c>
      <c r="C544" t="s">
        <v>43</v>
      </c>
      <c r="D544" t="s">
        <v>39</v>
      </c>
      <c r="E544" t="s">
        <v>26</v>
      </c>
      <c r="F544" s="1">
        <v>45727</v>
      </c>
      <c r="G544" s="1">
        <v>45740</v>
      </c>
      <c r="H544" s="1">
        <v>45745</v>
      </c>
      <c r="I544" s="1">
        <v>45747</v>
      </c>
      <c r="J544" t="s">
        <v>27</v>
      </c>
      <c r="K544">
        <v>84</v>
      </c>
      <c r="L544">
        <v>589.91999999999996</v>
      </c>
      <c r="M544">
        <v>49553.279999999999</v>
      </c>
      <c r="N544">
        <v>18</v>
      </c>
      <c r="O544">
        <f>Orders[[#This Row],[Actual_Ship_Date]]-Orders[[#This Row],[Expected_Ship_Date]]</f>
        <v>5</v>
      </c>
    </row>
    <row r="545" spans="1:15" x14ac:dyDescent="0.25">
      <c r="A545" t="s">
        <v>590</v>
      </c>
      <c r="B545" t="s">
        <v>24</v>
      </c>
      <c r="C545" t="s">
        <v>43</v>
      </c>
      <c r="D545" t="s">
        <v>35</v>
      </c>
      <c r="E545" t="s">
        <v>57</v>
      </c>
      <c r="F545" s="1">
        <v>45741</v>
      </c>
      <c r="G545" s="1">
        <v>45753</v>
      </c>
      <c r="H545" s="1">
        <v>45753</v>
      </c>
      <c r="I545" s="1">
        <v>45756</v>
      </c>
      <c r="J545" t="s">
        <v>19</v>
      </c>
      <c r="K545">
        <v>189</v>
      </c>
      <c r="L545">
        <v>113.85</v>
      </c>
      <c r="M545">
        <v>21517.65</v>
      </c>
      <c r="N545">
        <v>12</v>
      </c>
      <c r="O545">
        <f>Orders[[#This Row],[Actual_Ship_Date]]-Orders[[#This Row],[Expected_Ship_Date]]</f>
        <v>0</v>
      </c>
    </row>
    <row r="546" spans="1:15" x14ac:dyDescent="0.25">
      <c r="A546" t="s">
        <v>591</v>
      </c>
      <c r="B546" t="s">
        <v>56</v>
      </c>
      <c r="C546" t="s">
        <v>43</v>
      </c>
      <c r="D546" t="s">
        <v>22</v>
      </c>
      <c r="E546" t="s">
        <v>31</v>
      </c>
      <c r="F546" s="1">
        <v>45770</v>
      </c>
      <c r="G546" s="1">
        <v>45779</v>
      </c>
      <c r="H546" s="1">
        <v>45780</v>
      </c>
      <c r="I546" s="1">
        <v>45783</v>
      </c>
      <c r="J546" t="s">
        <v>27</v>
      </c>
      <c r="K546">
        <v>168</v>
      </c>
      <c r="L546">
        <v>794.26</v>
      </c>
      <c r="M546">
        <v>133435.68</v>
      </c>
      <c r="N546">
        <v>10</v>
      </c>
      <c r="O546">
        <f>Orders[[#This Row],[Actual_Ship_Date]]-Orders[[#This Row],[Expected_Ship_Date]]</f>
        <v>1</v>
      </c>
    </row>
    <row r="547" spans="1:15" x14ac:dyDescent="0.25">
      <c r="A547" t="s">
        <v>592</v>
      </c>
      <c r="B547" t="s">
        <v>45</v>
      </c>
      <c r="C547" t="s">
        <v>34</v>
      </c>
      <c r="D547" t="s">
        <v>35</v>
      </c>
      <c r="E547" t="s">
        <v>57</v>
      </c>
      <c r="F547" s="1">
        <v>45674</v>
      </c>
      <c r="G547" s="1">
        <v>45679</v>
      </c>
      <c r="H547" s="1">
        <v>45679</v>
      </c>
      <c r="I547" s="1">
        <v>45684</v>
      </c>
      <c r="J547" t="s">
        <v>36</v>
      </c>
      <c r="K547">
        <v>161</v>
      </c>
      <c r="L547">
        <v>207.81</v>
      </c>
      <c r="M547">
        <v>33457.410000000003</v>
      </c>
      <c r="N547">
        <v>5</v>
      </c>
      <c r="O547">
        <f>Orders[[#This Row],[Actual_Ship_Date]]-Orders[[#This Row],[Expected_Ship_Date]]</f>
        <v>0</v>
      </c>
    </row>
    <row r="548" spans="1:15" x14ac:dyDescent="0.25">
      <c r="A548" t="s">
        <v>593</v>
      </c>
      <c r="B548" t="s">
        <v>24</v>
      </c>
      <c r="C548" t="s">
        <v>43</v>
      </c>
      <c r="D548" t="s">
        <v>39</v>
      </c>
      <c r="E548" t="s">
        <v>18</v>
      </c>
      <c r="F548" s="1">
        <v>45668</v>
      </c>
      <c r="G548" s="1">
        <v>45682</v>
      </c>
      <c r="H548" s="1">
        <v>45687</v>
      </c>
      <c r="I548" s="1">
        <v>45691</v>
      </c>
      <c r="J548" t="s">
        <v>32</v>
      </c>
      <c r="K548">
        <v>159</v>
      </c>
      <c r="L548">
        <v>406.42</v>
      </c>
      <c r="M548">
        <v>64620.78</v>
      </c>
      <c r="N548">
        <v>19</v>
      </c>
      <c r="O548">
        <f>Orders[[#This Row],[Actual_Ship_Date]]-Orders[[#This Row],[Expected_Ship_Date]]</f>
        <v>5</v>
      </c>
    </row>
    <row r="549" spans="1:15" x14ac:dyDescent="0.25">
      <c r="A549" t="s">
        <v>594</v>
      </c>
      <c r="B549" t="s">
        <v>56</v>
      </c>
      <c r="C549" t="s">
        <v>21</v>
      </c>
      <c r="D549" t="s">
        <v>22</v>
      </c>
      <c r="E549" t="s">
        <v>40</v>
      </c>
      <c r="F549" s="1">
        <v>45718</v>
      </c>
      <c r="G549" s="1">
        <v>45723</v>
      </c>
      <c r="H549" s="1">
        <v>45723</v>
      </c>
      <c r="I549" s="1">
        <v>45725</v>
      </c>
      <c r="J549" t="s">
        <v>32</v>
      </c>
      <c r="K549">
        <v>200</v>
      </c>
      <c r="L549">
        <v>823.96</v>
      </c>
      <c r="M549">
        <v>164792</v>
      </c>
      <c r="N549">
        <v>5</v>
      </c>
      <c r="O549">
        <f>Orders[[#This Row],[Actual_Ship_Date]]-Orders[[#This Row],[Expected_Ship_Date]]</f>
        <v>0</v>
      </c>
    </row>
    <row r="550" spans="1:15" x14ac:dyDescent="0.25">
      <c r="A550" t="s">
        <v>595</v>
      </c>
      <c r="B550" t="s">
        <v>53</v>
      </c>
      <c r="C550" t="s">
        <v>46</v>
      </c>
      <c r="D550" t="s">
        <v>39</v>
      </c>
      <c r="E550" t="s">
        <v>26</v>
      </c>
      <c r="F550" s="1">
        <v>45743</v>
      </c>
      <c r="G550" s="1">
        <v>45749</v>
      </c>
      <c r="H550" s="1">
        <v>45754</v>
      </c>
      <c r="I550" s="1">
        <v>45756</v>
      </c>
      <c r="J550" t="s">
        <v>32</v>
      </c>
      <c r="K550">
        <v>117</v>
      </c>
      <c r="L550">
        <v>739.05</v>
      </c>
      <c r="M550">
        <v>86468.85</v>
      </c>
      <c r="N550">
        <v>11</v>
      </c>
      <c r="O550">
        <f>Orders[[#This Row],[Actual_Ship_Date]]-Orders[[#This Row],[Expected_Ship_Date]]</f>
        <v>5</v>
      </c>
    </row>
    <row r="551" spans="1:15" x14ac:dyDescent="0.25">
      <c r="A551" t="s">
        <v>596</v>
      </c>
      <c r="B551" t="s">
        <v>38</v>
      </c>
      <c r="C551" t="s">
        <v>51</v>
      </c>
      <c r="D551" t="s">
        <v>17</v>
      </c>
      <c r="E551" t="s">
        <v>31</v>
      </c>
      <c r="F551" s="1">
        <v>45712</v>
      </c>
      <c r="G551" s="1">
        <v>45721</v>
      </c>
      <c r="H551" s="1">
        <v>45726</v>
      </c>
      <c r="I551" s="1">
        <v>45727</v>
      </c>
      <c r="J551" t="s">
        <v>27</v>
      </c>
      <c r="K551">
        <v>102</v>
      </c>
      <c r="L551">
        <v>616.37</v>
      </c>
      <c r="M551">
        <v>62869.74</v>
      </c>
      <c r="N551">
        <v>14</v>
      </c>
      <c r="O551">
        <f>Orders[[#This Row],[Actual_Ship_Date]]-Orders[[#This Row],[Expected_Ship_Date]]</f>
        <v>5</v>
      </c>
    </row>
    <row r="552" spans="1:15" x14ac:dyDescent="0.25">
      <c r="A552" t="s">
        <v>597</v>
      </c>
      <c r="B552" t="s">
        <v>38</v>
      </c>
      <c r="C552" t="s">
        <v>51</v>
      </c>
      <c r="D552" t="s">
        <v>17</v>
      </c>
      <c r="E552" t="s">
        <v>18</v>
      </c>
      <c r="F552" s="1">
        <v>45715</v>
      </c>
      <c r="G552" s="1">
        <v>45725</v>
      </c>
      <c r="H552" s="1">
        <v>45730</v>
      </c>
      <c r="I552" s="1">
        <v>45731</v>
      </c>
      <c r="J552" t="s">
        <v>27</v>
      </c>
      <c r="K552">
        <v>67</v>
      </c>
      <c r="L552">
        <v>448.12</v>
      </c>
      <c r="M552">
        <v>30024.04</v>
      </c>
      <c r="N552">
        <v>15</v>
      </c>
      <c r="O552">
        <f>Orders[[#This Row],[Actual_Ship_Date]]-Orders[[#This Row],[Expected_Ship_Date]]</f>
        <v>5</v>
      </c>
    </row>
    <row r="553" spans="1:15" x14ac:dyDescent="0.25">
      <c r="A553" t="s">
        <v>598</v>
      </c>
      <c r="B553" t="s">
        <v>56</v>
      </c>
      <c r="C553" t="s">
        <v>25</v>
      </c>
      <c r="D553" t="s">
        <v>39</v>
      </c>
      <c r="E553" t="s">
        <v>26</v>
      </c>
      <c r="F553" s="1">
        <v>45724</v>
      </c>
      <c r="G553" s="1">
        <v>45739</v>
      </c>
      <c r="H553" s="1">
        <v>45742</v>
      </c>
      <c r="I553" s="1">
        <v>45743</v>
      </c>
      <c r="J553" t="s">
        <v>32</v>
      </c>
      <c r="K553">
        <v>117</v>
      </c>
      <c r="L553">
        <v>347.36</v>
      </c>
      <c r="M553">
        <v>40641.120000000003</v>
      </c>
      <c r="N553">
        <v>18</v>
      </c>
      <c r="O553">
        <f>Orders[[#This Row],[Actual_Ship_Date]]-Orders[[#This Row],[Expected_Ship_Date]]</f>
        <v>3</v>
      </c>
    </row>
    <row r="554" spans="1:15" x14ac:dyDescent="0.25">
      <c r="A554" t="s">
        <v>599</v>
      </c>
      <c r="B554" t="s">
        <v>53</v>
      </c>
      <c r="C554" t="s">
        <v>16</v>
      </c>
      <c r="D554" t="s">
        <v>17</v>
      </c>
      <c r="E554" t="s">
        <v>31</v>
      </c>
      <c r="F554" s="1">
        <v>45712</v>
      </c>
      <c r="G554" s="1">
        <v>45719</v>
      </c>
      <c r="H554" s="1">
        <v>45721</v>
      </c>
      <c r="I554" s="1">
        <v>45722</v>
      </c>
      <c r="J554" t="s">
        <v>27</v>
      </c>
      <c r="K554">
        <v>41</v>
      </c>
      <c r="L554">
        <v>402.09</v>
      </c>
      <c r="M554">
        <v>16485.689999999999</v>
      </c>
      <c r="N554">
        <v>9</v>
      </c>
      <c r="O554">
        <f>Orders[[#This Row],[Actual_Ship_Date]]-Orders[[#This Row],[Expected_Ship_Date]]</f>
        <v>2</v>
      </c>
    </row>
    <row r="555" spans="1:15" x14ac:dyDescent="0.25">
      <c r="A555" t="s">
        <v>600</v>
      </c>
      <c r="B555" t="s">
        <v>29</v>
      </c>
      <c r="C555" t="s">
        <v>43</v>
      </c>
      <c r="D555" t="s">
        <v>39</v>
      </c>
      <c r="E555" t="s">
        <v>63</v>
      </c>
      <c r="F555" s="1">
        <v>45681</v>
      </c>
      <c r="G555" s="1">
        <v>45696</v>
      </c>
      <c r="H555" s="1">
        <v>45698</v>
      </c>
      <c r="I555" s="1">
        <v>45703</v>
      </c>
      <c r="J555" t="s">
        <v>32</v>
      </c>
      <c r="K555">
        <v>110</v>
      </c>
      <c r="L555">
        <v>285.08999999999997</v>
      </c>
      <c r="M555">
        <v>31359.9</v>
      </c>
      <c r="N555">
        <v>17</v>
      </c>
      <c r="O555">
        <f>Orders[[#This Row],[Actual_Ship_Date]]-Orders[[#This Row],[Expected_Ship_Date]]</f>
        <v>2</v>
      </c>
    </row>
    <row r="556" spans="1:15" x14ac:dyDescent="0.25">
      <c r="A556" t="s">
        <v>601</v>
      </c>
      <c r="B556" t="s">
        <v>78</v>
      </c>
      <c r="C556" t="s">
        <v>16</v>
      </c>
      <c r="D556" t="s">
        <v>35</v>
      </c>
      <c r="E556" t="s">
        <v>31</v>
      </c>
      <c r="F556" s="1">
        <v>45772</v>
      </c>
      <c r="G556" s="1">
        <v>45786</v>
      </c>
      <c r="H556" s="1">
        <v>45786</v>
      </c>
      <c r="I556" s="1">
        <v>45790</v>
      </c>
      <c r="J556" t="s">
        <v>19</v>
      </c>
      <c r="K556">
        <v>182</v>
      </c>
      <c r="L556">
        <v>556.55999999999995</v>
      </c>
      <c r="M556">
        <v>101293.92</v>
      </c>
      <c r="N556">
        <v>14</v>
      </c>
      <c r="O556">
        <f>Orders[[#This Row],[Actual_Ship_Date]]-Orders[[#This Row],[Expected_Ship_Date]]</f>
        <v>0</v>
      </c>
    </row>
    <row r="557" spans="1:15" x14ac:dyDescent="0.25">
      <c r="A557" t="s">
        <v>602</v>
      </c>
      <c r="B557" t="s">
        <v>15</v>
      </c>
      <c r="C557" t="s">
        <v>43</v>
      </c>
      <c r="D557" t="s">
        <v>39</v>
      </c>
      <c r="E557" t="s">
        <v>63</v>
      </c>
      <c r="F557" s="1">
        <v>45748</v>
      </c>
      <c r="G557" s="1">
        <v>45758</v>
      </c>
      <c r="H557" s="1">
        <v>45761</v>
      </c>
      <c r="I557" s="1">
        <v>45764</v>
      </c>
      <c r="J557" t="s">
        <v>32</v>
      </c>
      <c r="K557">
        <v>186</v>
      </c>
      <c r="L557">
        <v>335.71</v>
      </c>
      <c r="M557">
        <v>62442.06</v>
      </c>
      <c r="N557">
        <v>13</v>
      </c>
      <c r="O557">
        <f>Orders[[#This Row],[Actual_Ship_Date]]-Orders[[#This Row],[Expected_Ship_Date]]</f>
        <v>3</v>
      </c>
    </row>
    <row r="558" spans="1:15" x14ac:dyDescent="0.25">
      <c r="A558" t="s">
        <v>603</v>
      </c>
      <c r="B558" t="s">
        <v>78</v>
      </c>
      <c r="C558" t="s">
        <v>43</v>
      </c>
      <c r="D558" t="s">
        <v>22</v>
      </c>
      <c r="E558" t="s">
        <v>26</v>
      </c>
      <c r="F558" s="1">
        <v>45706</v>
      </c>
      <c r="G558" s="1">
        <v>45709</v>
      </c>
      <c r="H558" s="1">
        <v>45714</v>
      </c>
      <c r="I558" s="1">
        <v>45716</v>
      </c>
      <c r="J558" t="s">
        <v>27</v>
      </c>
      <c r="K558">
        <v>149</v>
      </c>
      <c r="L558">
        <v>742.54</v>
      </c>
      <c r="M558">
        <v>110638.46</v>
      </c>
      <c r="N558">
        <v>8</v>
      </c>
      <c r="O558">
        <f>Orders[[#This Row],[Actual_Ship_Date]]-Orders[[#This Row],[Expected_Ship_Date]]</f>
        <v>5</v>
      </c>
    </row>
    <row r="559" spans="1:15" x14ac:dyDescent="0.25">
      <c r="A559" t="s">
        <v>604</v>
      </c>
      <c r="B559" t="s">
        <v>78</v>
      </c>
      <c r="C559" t="s">
        <v>16</v>
      </c>
      <c r="D559" t="s">
        <v>22</v>
      </c>
      <c r="E559" t="s">
        <v>26</v>
      </c>
      <c r="F559" s="1">
        <v>45756</v>
      </c>
      <c r="G559" s="1">
        <v>45770</v>
      </c>
      <c r="H559" s="1">
        <v>45770</v>
      </c>
      <c r="I559" s="1">
        <v>45774</v>
      </c>
      <c r="J559" t="s">
        <v>36</v>
      </c>
      <c r="K559">
        <v>119</v>
      </c>
      <c r="L559">
        <v>256.13</v>
      </c>
      <c r="M559">
        <v>30479.47</v>
      </c>
      <c r="N559">
        <v>14</v>
      </c>
      <c r="O559">
        <f>Orders[[#This Row],[Actual_Ship_Date]]-Orders[[#This Row],[Expected_Ship_Date]]</f>
        <v>0</v>
      </c>
    </row>
    <row r="560" spans="1:15" x14ac:dyDescent="0.25">
      <c r="A560" t="s">
        <v>605</v>
      </c>
      <c r="B560" t="s">
        <v>15</v>
      </c>
      <c r="C560" t="s">
        <v>51</v>
      </c>
      <c r="D560" t="s">
        <v>17</v>
      </c>
      <c r="E560" t="s">
        <v>18</v>
      </c>
      <c r="F560" s="1">
        <v>45658</v>
      </c>
      <c r="G560" s="1">
        <v>45670</v>
      </c>
      <c r="H560" s="1">
        <v>45675</v>
      </c>
      <c r="I560" s="1">
        <v>45678</v>
      </c>
      <c r="J560" t="s">
        <v>32</v>
      </c>
      <c r="K560">
        <v>132</v>
      </c>
      <c r="L560">
        <v>729.27</v>
      </c>
      <c r="M560">
        <v>96263.64</v>
      </c>
      <c r="N560">
        <v>17</v>
      </c>
      <c r="O560">
        <f>Orders[[#This Row],[Actual_Ship_Date]]-Orders[[#This Row],[Expected_Ship_Date]]</f>
        <v>5</v>
      </c>
    </row>
    <row r="561" spans="1:15" x14ac:dyDescent="0.25">
      <c r="A561" t="s">
        <v>606</v>
      </c>
      <c r="B561" t="s">
        <v>48</v>
      </c>
      <c r="C561" t="s">
        <v>51</v>
      </c>
      <c r="D561" t="s">
        <v>22</v>
      </c>
      <c r="E561" t="s">
        <v>63</v>
      </c>
      <c r="F561" s="1">
        <v>45688</v>
      </c>
      <c r="G561" s="1">
        <v>45694</v>
      </c>
      <c r="H561" s="1">
        <v>45696</v>
      </c>
      <c r="I561" s="1">
        <v>45700</v>
      </c>
      <c r="J561" t="s">
        <v>27</v>
      </c>
      <c r="K561">
        <v>118</v>
      </c>
      <c r="L561">
        <v>81.3</v>
      </c>
      <c r="M561">
        <v>9593.4</v>
      </c>
      <c r="N561">
        <v>8</v>
      </c>
      <c r="O561">
        <f>Orders[[#This Row],[Actual_Ship_Date]]-Orders[[#This Row],[Expected_Ship_Date]]</f>
        <v>2</v>
      </c>
    </row>
    <row r="562" spans="1:15" x14ac:dyDescent="0.25">
      <c r="A562" t="s">
        <v>607</v>
      </c>
      <c r="B562" t="s">
        <v>78</v>
      </c>
      <c r="C562" t="s">
        <v>51</v>
      </c>
      <c r="D562" t="s">
        <v>59</v>
      </c>
      <c r="E562" t="s">
        <v>31</v>
      </c>
      <c r="F562" s="1">
        <v>45693</v>
      </c>
      <c r="G562" s="1">
        <v>45705</v>
      </c>
      <c r="H562" s="1">
        <v>45708</v>
      </c>
      <c r="I562" s="1">
        <v>45713</v>
      </c>
      <c r="J562" t="s">
        <v>27</v>
      </c>
      <c r="K562">
        <v>58</v>
      </c>
      <c r="L562">
        <v>55.85</v>
      </c>
      <c r="M562">
        <v>3239.3</v>
      </c>
      <c r="N562">
        <v>15</v>
      </c>
      <c r="O562">
        <f>Orders[[#This Row],[Actual_Ship_Date]]-Orders[[#This Row],[Expected_Ship_Date]]</f>
        <v>3</v>
      </c>
    </row>
    <row r="563" spans="1:15" x14ac:dyDescent="0.25">
      <c r="A563" t="s">
        <v>608</v>
      </c>
      <c r="B563" t="s">
        <v>42</v>
      </c>
      <c r="C563" t="s">
        <v>51</v>
      </c>
      <c r="D563" t="s">
        <v>35</v>
      </c>
      <c r="E563" t="s">
        <v>18</v>
      </c>
      <c r="F563" s="1">
        <v>45676</v>
      </c>
      <c r="G563" s="1">
        <v>45679</v>
      </c>
      <c r="H563" s="1">
        <v>45682</v>
      </c>
      <c r="I563" s="1">
        <v>45687</v>
      </c>
      <c r="J563" t="s">
        <v>27</v>
      </c>
      <c r="K563">
        <v>81</v>
      </c>
      <c r="L563">
        <v>291.48</v>
      </c>
      <c r="M563">
        <v>23609.88</v>
      </c>
      <c r="N563">
        <v>6</v>
      </c>
      <c r="O563">
        <f>Orders[[#This Row],[Actual_Ship_Date]]-Orders[[#This Row],[Expected_Ship_Date]]</f>
        <v>3</v>
      </c>
    </row>
    <row r="564" spans="1:15" x14ac:dyDescent="0.25">
      <c r="A564" t="s">
        <v>609</v>
      </c>
      <c r="B564" t="s">
        <v>48</v>
      </c>
      <c r="C564" t="s">
        <v>43</v>
      </c>
      <c r="D564" t="s">
        <v>39</v>
      </c>
      <c r="E564" t="s">
        <v>40</v>
      </c>
      <c r="F564" s="1">
        <v>45680</v>
      </c>
      <c r="G564" s="1">
        <v>45685</v>
      </c>
      <c r="H564" s="1">
        <v>45688</v>
      </c>
      <c r="I564" s="1">
        <v>45691</v>
      </c>
      <c r="J564" t="s">
        <v>27</v>
      </c>
      <c r="K564">
        <v>182</v>
      </c>
      <c r="L564">
        <v>599.37</v>
      </c>
      <c r="M564">
        <v>109085.34</v>
      </c>
      <c r="N564">
        <v>8</v>
      </c>
      <c r="O564">
        <f>Orders[[#This Row],[Actual_Ship_Date]]-Orders[[#This Row],[Expected_Ship_Date]]</f>
        <v>3</v>
      </c>
    </row>
    <row r="565" spans="1:15" x14ac:dyDescent="0.25">
      <c r="A565" t="s">
        <v>610</v>
      </c>
      <c r="B565" t="s">
        <v>38</v>
      </c>
      <c r="C565" t="s">
        <v>16</v>
      </c>
      <c r="D565" t="s">
        <v>59</v>
      </c>
      <c r="E565" t="s">
        <v>18</v>
      </c>
      <c r="F565" s="1">
        <v>45732</v>
      </c>
      <c r="G565" s="1">
        <v>45740</v>
      </c>
      <c r="H565" s="1">
        <v>45740</v>
      </c>
      <c r="I565" s="1">
        <v>45741</v>
      </c>
      <c r="J565" t="s">
        <v>36</v>
      </c>
      <c r="K565">
        <v>102</v>
      </c>
      <c r="L565">
        <v>699.92</v>
      </c>
      <c r="M565">
        <v>71391.839999999997</v>
      </c>
      <c r="N565">
        <v>8</v>
      </c>
      <c r="O565">
        <f>Orders[[#This Row],[Actual_Ship_Date]]-Orders[[#This Row],[Expected_Ship_Date]]</f>
        <v>0</v>
      </c>
    </row>
    <row r="566" spans="1:15" x14ac:dyDescent="0.25">
      <c r="A566" t="s">
        <v>611</v>
      </c>
      <c r="B566" t="s">
        <v>45</v>
      </c>
      <c r="C566" t="s">
        <v>51</v>
      </c>
      <c r="D566" t="s">
        <v>35</v>
      </c>
      <c r="E566" t="s">
        <v>63</v>
      </c>
      <c r="F566" s="1">
        <v>45675</v>
      </c>
      <c r="G566" s="1">
        <v>45679</v>
      </c>
      <c r="H566" s="1">
        <v>45682</v>
      </c>
      <c r="I566" s="1">
        <v>45685</v>
      </c>
      <c r="J566" t="s">
        <v>27</v>
      </c>
      <c r="K566">
        <v>110</v>
      </c>
      <c r="L566">
        <v>453.08</v>
      </c>
      <c r="M566">
        <v>49838.8</v>
      </c>
      <c r="N566">
        <v>7</v>
      </c>
      <c r="O566">
        <f>Orders[[#This Row],[Actual_Ship_Date]]-Orders[[#This Row],[Expected_Ship_Date]]</f>
        <v>3</v>
      </c>
    </row>
    <row r="567" spans="1:15" x14ac:dyDescent="0.25">
      <c r="A567" t="s">
        <v>612</v>
      </c>
      <c r="B567" t="s">
        <v>56</v>
      </c>
      <c r="C567" t="s">
        <v>21</v>
      </c>
      <c r="D567" t="s">
        <v>17</v>
      </c>
      <c r="E567" t="s">
        <v>57</v>
      </c>
      <c r="F567" s="1">
        <v>45751</v>
      </c>
      <c r="G567" s="1">
        <v>45764</v>
      </c>
      <c r="H567" s="1">
        <v>45766</v>
      </c>
      <c r="I567" s="1">
        <v>45767</v>
      </c>
      <c r="J567" t="s">
        <v>27</v>
      </c>
      <c r="K567">
        <v>181</v>
      </c>
      <c r="L567">
        <v>519.99</v>
      </c>
      <c r="M567">
        <v>94118.19</v>
      </c>
      <c r="N567">
        <v>15</v>
      </c>
      <c r="O567">
        <f>Orders[[#This Row],[Actual_Ship_Date]]-Orders[[#This Row],[Expected_Ship_Date]]</f>
        <v>2</v>
      </c>
    </row>
    <row r="568" spans="1:15" x14ac:dyDescent="0.25">
      <c r="A568" t="s">
        <v>613</v>
      </c>
      <c r="B568" t="s">
        <v>53</v>
      </c>
      <c r="C568" t="s">
        <v>30</v>
      </c>
      <c r="D568" t="s">
        <v>39</v>
      </c>
      <c r="E568" t="s">
        <v>26</v>
      </c>
      <c r="F568" s="1">
        <v>45691</v>
      </c>
      <c r="G568" s="1">
        <v>45702</v>
      </c>
      <c r="H568" s="1">
        <v>45704</v>
      </c>
      <c r="I568" s="1">
        <v>45709</v>
      </c>
      <c r="J568" t="s">
        <v>27</v>
      </c>
      <c r="K568">
        <v>38</v>
      </c>
      <c r="L568">
        <v>527.92999999999995</v>
      </c>
      <c r="M568">
        <v>20061.34</v>
      </c>
      <c r="N568">
        <v>13</v>
      </c>
      <c r="O568">
        <f>Orders[[#This Row],[Actual_Ship_Date]]-Orders[[#This Row],[Expected_Ship_Date]]</f>
        <v>2</v>
      </c>
    </row>
    <row r="569" spans="1:15" x14ac:dyDescent="0.25">
      <c r="A569" t="s">
        <v>614</v>
      </c>
      <c r="B569" t="s">
        <v>42</v>
      </c>
      <c r="C569" t="s">
        <v>34</v>
      </c>
      <c r="D569" t="s">
        <v>17</v>
      </c>
      <c r="E569" t="s">
        <v>18</v>
      </c>
      <c r="F569" s="1">
        <v>45771</v>
      </c>
      <c r="G569" s="1">
        <v>45783</v>
      </c>
      <c r="H569" s="1">
        <v>45783</v>
      </c>
      <c r="I569" s="1">
        <v>45786</v>
      </c>
      <c r="J569" t="s">
        <v>32</v>
      </c>
      <c r="K569">
        <v>11</v>
      </c>
      <c r="L569">
        <v>403.18</v>
      </c>
      <c r="M569">
        <v>4434.9799999999996</v>
      </c>
      <c r="N569">
        <v>12</v>
      </c>
      <c r="O569">
        <f>Orders[[#This Row],[Actual_Ship_Date]]-Orders[[#This Row],[Expected_Ship_Date]]</f>
        <v>0</v>
      </c>
    </row>
    <row r="570" spans="1:15" x14ac:dyDescent="0.25">
      <c r="A570" t="s">
        <v>615</v>
      </c>
      <c r="B570" t="s">
        <v>56</v>
      </c>
      <c r="C570" t="s">
        <v>16</v>
      </c>
      <c r="D570" t="s">
        <v>59</v>
      </c>
      <c r="E570" t="s">
        <v>57</v>
      </c>
      <c r="F570" s="1">
        <v>45710</v>
      </c>
      <c r="G570" s="1">
        <v>45713</v>
      </c>
      <c r="H570" s="1">
        <v>45713</v>
      </c>
      <c r="I570" s="1">
        <v>45716</v>
      </c>
      <c r="J570" t="s">
        <v>32</v>
      </c>
      <c r="K570">
        <v>56</v>
      </c>
      <c r="L570">
        <v>591.16</v>
      </c>
      <c r="M570">
        <v>33104.959999999999</v>
      </c>
      <c r="N570">
        <v>3</v>
      </c>
      <c r="O570">
        <f>Orders[[#This Row],[Actual_Ship_Date]]-Orders[[#This Row],[Expected_Ship_Date]]</f>
        <v>0</v>
      </c>
    </row>
    <row r="571" spans="1:15" x14ac:dyDescent="0.25">
      <c r="A571" t="s">
        <v>616</v>
      </c>
      <c r="B571" t="s">
        <v>48</v>
      </c>
      <c r="C571" t="s">
        <v>51</v>
      </c>
      <c r="D571" t="s">
        <v>22</v>
      </c>
      <c r="E571" t="s">
        <v>26</v>
      </c>
      <c r="F571" s="1">
        <v>45722</v>
      </c>
      <c r="G571" s="1">
        <v>45733</v>
      </c>
      <c r="H571" s="1">
        <v>45733</v>
      </c>
      <c r="I571" s="1">
        <v>45734</v>
      </c>
      <c r="J571" t="s">
        <v>19</v>
      </c>
      <c r="K571">
        <v>92</v>
      </c>
      <c r="L571">
        <v>345.7</v>
      </c>
      <c r="M571">
        <v>31804.400000000001</v>
      </c>
      <c r="N571">
        <v>11</v>
      </c>
      <c r="O571">
        <f>Orders[[#This Row],[Actual_Ship_Date]]-Orders[[#This Row],[Expected_Ship_Date]]</f>
        <v>0</v>
      </c>
    </row>
    <row r="572" spans="1:15" x14ac:dyDescent="0.25">
      <c r="A572" t="s">
        <v>617</v>
      </c>
      <c r="B572" t="s">
        <v>53</v>
      </c>
      <c r="C572" t="s">
        <v>43</v>
      </c>
      <c r="D572" t="s">
        <v>39</v>
      </c>
      <c r="E572" t="s">
        <v>63</v>
      </c>
      <c r="F572" s="1">
        <v>45700</v>
      </c>
      <c r="G572" s="1">
        <v>45708</v>
      </c>
      <c r="H572" s="1">
        <v>45711</v>
      </c>
      <c r="I572" s="1">
        <v>45715</v>
      </c>
      <c r="J572" t="s">
        <v>27</v>
      </c>
      <c r="K572">
        <v>14</v>
      </c>
      <c r="L572">
        <v>554.12</v>
      </c>
      <c r="M572">
        <v>7757.68</v>
      </c>
      <c r="N572">
        <v>11</v>
      </c>
      <c r="O572">
        <f>Orders[[#This Row],[Actual_Ship_Date]]-Orders[[#This Row],[Expected_Ship_Date]]</f>
        <v>3</v>
      </c>
    </row>
    <row r="573" spans="1:15" x14ac:dyDescent="0.25">
      <c r="A573" t="s">
        <v>618</v>
      </c>
      <c r="B573" t="s">
        <v>56</v>
      </c>
      <c r="C573" t="s">
        <v>46</v>
      </c>
      <c r="D573" t="s">
        <v>17</v>
      </c>
      <c r="E573" t="s">
        <v>63</v>
      </c>
      <c r="F573" s="1">
        <v>45772</v>
      </c>
      <c r="G573" s="1">
        <v>45780</v>
      </c>
      <c r="H573" s="1">
        <v>45781</v>
      </c>
      <c r="I573" s="1">
        <v>45785</v>
      </c>
      <c r="J573" t="s">
        <v>27</v>
      </c>
      <c r="K573">
        <v>19</v>
      </c>
      <c r="L573">
        <v>712.31</v>
      </c>
      <c r="M573">
        <v>13533.89</v>
      </c>
      <c r="N573">
        <v>9</v>
      </c>
      <c r="O573">
        <f>Orders[[#This Row],[Actual_Ship_Date]]-Orders[[#This Row],[Expected_Ship_Date]]</f>
        <v>1</v>
      </c>
    </row>
    <row r="574" spans="1:15" x14ac:dyDescent="0.25">
      <c r="A574" t="s">
        <v>619</v>
      </c>
      <c r="B574" t="s">
        <v>78</v>
      </c>
      <c r="C574" t="s">
        <v>25</v>
      </c>
      <c r="D574" t="s">
        <v>35</v>
      </c>
      <c r="E574" t="s">
        <v>57</v>
      </c>
      <c r="F574" s="1">
        <v>45660</v>
      </c>
      <c r="G574" s="1">
        <v>45666</v>
      </c>
      <c r="H574" s="1">
        <v>45668</v>
      </c>
      <c r="I574" s="1">
        <v>45671</v>
      </c>
      <c r="J574" t="s">
        <v>27</v>
      </c>
      <c r="K574">
        <v>95</v>
      </c>
      <c r="L574">
        <v>70.290000000000006</v>
      </c>
      <c r="M574">
        <v>6677.55</v>
      </c>
      <c r="N574">
        <v>8</v>
      </c>
      <c r="O574">
        <f>Orders[[#This Row],[Actual_Ship_Date]]-Orders[[#This Row],[Expected_Ship_Date]]</f>
        <v>2</v>
      </c>
    </row>
    <row r="575" spans="1:15" x14ac:dyDescent="0.25">
      <c r="A575" t="s">
        <v>620</v>
      </c>
      <c r="B575" t="s">
        <v>42</v>
      </c>
      <c r="C575" t="s">
        <v>25</v>
      </c>
      <c r="D575" t="s">
        <v>59</v>
      </c>
      <c r="E575" t="s">
        <v>40</v>
      </c>
      <c r="F575" s="1">
        <v>45706</v>
      </c>
      <c r="G575" s="1">
        <v>45719</v>
      </c>
      <c r="H575" s="1">
        <v>45721</v>
      </c>
      <c r="I575" s="1">
        <v>45723</v>
      </c>
      <c r="J575" t="s">
        <v>27</v>
      </c>
      <c r="K575">
        <v>104</v>
      </c>
      <c r="L575">
        <v>171.46</v>
      </c>
      <c r="M575">
        <v>17831.84</v>
      </c>
      <c r="N575">
        <v>15</v>
      </c>
      <c r="O575">
        <f>Orders[[#This Row],[Actual_Ship_Date]]-Orders[[#This Row],[Expected_Ship_Date]]</f>
        <v>2</v>
      </c>
    </row>
    <row r="576" spans="1:15" x14ac:dyDescent="0.25">
      <c r="A576" t="s">
        <v>621</v>
      </c>
      <c r="B576" t="s">
        <v>56</v>
      </c>
      <c r="C576" t="s">
        <v>34</v>
      </c>
      <c r="D576" t="s">
        <v>17</v>
      </c>
      <c r="E576" t="s">
        <v>57</v>
      </c>
      <c r="F576" s="1">
        <v>45662</v>
      </c>
      <c r="G576" s="1">
        <v>45669</v>
      </c>
      <c r="H576" s="1">
        <v>45670</v>
      </c>
      <c r="I576" s="1">
        <v>45671</v>
      </c>
      <c r="J576" t="s">
        <v>27</v>
      </c>
      <c r="K576">
        <v>65</v>
      </c>
      <c r="L576">
        <v>325.27</v>
      </c>
      <c r="M576">
        <v>21142.55</v>
      </c>
      <c r="N576">
        <v>8</v>
      </c>
      <c r="O576">
        <f>Orders[[#This Row],[Actual_Ship_Date]]-Orders[[#This Row],[Expected_Ship_Date]]</f>
        <v>1</v>
      </c>
    </row>
    <row r="577" spans="1:15" x14ac:dyDescent="0.25">
      <c r="A577" t="s">
        <v>622</v>
      </c>
      <c r="B577" t="s">
        <v>53</v>
      </c>
      <c r="C577" t="s">
        <v>43</v>
      </c>
      <c r="D577" t="s">
        <v>22</v>
      </c>
      <c r="E577" t="s">
        <v>57</v>
      </c>
      <c r="F577" s="1">
        <v>45680</v>
      </c>
      <c r="G577" s="1">
        <v>45684</v>
      </c>
      <c r="H577" s="1">
        <v>45684</v>
      </c>
      <c r="I577" s="1">
        <v>45685</v>
      </c>
      <c r="J577" t="s">
        <v>19</v>
      </c>
      <c r="K577">
        <v>118</v>
      </c>
      <c r="L577">
        <v>437.51</v>
      </c>
      <c r="M577">
        <v>51626.18</v>
      </c>
      <c r="N577">
        <v>4</v>
      </c>
      <c r="O577">
        <f>Orders[[#This Row],[Actual_Ship_Date]]-Orders[[#This Row],[Expected_Ship_Date]]</f>
        <v>0</v>
      </c>
    </row>
    <row r="578" spans="1:15" x14ac:dyDescent="0.25">
      <c r="A578" t="s">
        <v>623</v>
      </c>
      <c r="B578" t="s">
        <v>42</v>
      </c>
      <c r="C578" t="s">
        <v>43</v>
      </c>
      <c r="D578" t="s">
        <v>22</v>
      </c>
      <c r="E578" t="s">
        <v>40</v>
      </c>
      <c r="F578" s="1">
        <v>45776</v>
      </c>
      <c r="G578" s="1">
        <v>45786</v>
      </c>
      <c r="H578" s="1">
        <v>45789</v>
      </c>
      <c r="I578" s="1">
        <v>45794</v>
      </c>
      <c r="J578" t="s">
        <v>27</v>
      </c>
      <c r="K578">
        <v>88</v>
      </c>
      <c r="L578">
        <v>134.65</v>
      </c>
      <c r="M578">
        <v>11849.2</v>
      </c>
      <c r="N578">
        <v>13</v>
      </c>
      <c r="O578">
        <f>Orders[[#This Row],[Actual_Ship_Date]]-Orders[[#This Row],[Expected_Ship_Date]]</f>
        <v>3</v>
      </c>
    </row>
    <row r="579" spans="1:15" x14ac:dyDescent="0.25">
      <c r="A579" t="s">
        <v>624</v>
      </c>
      <c r="B579" t="s">
        <v>48</v>
      </c>
      <c r="C579" t="s">
        <v>16</v>
      </c>
      <c r="D579" t="s">
        <v>59</v>
      </c>
      <c r="E579" t="s">
        <v>18</v>
      </c>
      <c r="F579" s="1">
        <v>45662</v>
      </c>
      <c r="G579" s="1">
        <v>45672</v>
      </c>
      <c r="H579" s="1">
        <v>45673</v>
      </c>
      <c r="I579" s="1">
        <v>45678</v>
      </c>
      <c r="J579" t="s">
        <v>32</v>
      </c>
      <c r="K579">
        <v>84</v>
      </c>
      <c r="L579">
        <v>793.5</v>
      </c>
      <c r="M579">
        <v>66654</v>
      </c>
      <c r="N579">
        <v>11</v>
      </c>
      <c r="O579">
        <f>Orders[[#This Row],[Actual_Ship_Date]]-Orders[[#This Row],[Expected_Ship_Date]]</f>
        <v>1</v>
      </c>
    </row>
    <row r="580" spans="1:15" x14ac:dyDescent="0.25">
      <c r="A580" t="s">
        <v>625</v>
      </c>
      <c r="B580" t="s">
        <v>45</v>
      </c>
      <c r="C580" t="s">
        <v>46</v>
      </c>
      <c r="D580" t="s">
        <v>22</v>
      </c>
      <c r="E580" t="s">
        <v>26</v>
      </c>
      <c r="F580" s="1">
        <v>45771</v>
      </c>
      <c r="G580" s="1">
        <v>45774</v>
      </c>
      <c r="H580" s="1">
        <v>45774</v>
      </c>
      <c r="I580" s="1">
        <v>45779</v>
      </c>
      <c r="J580" t="s">
        <v>32</v>
      </c>
      <c r="K580">
        <v>199</v>
      </c>
      <c r="L580">
        <v>275.64</v>
      </c>
      <c r="M580">
        <v>54852.36</v>
      </c>
      <c r="N580">
        <v>3</v>
      </c>
      <c r="O580">
        <f>Orders[[#This Row],[Actual_Ship_Date]]-Orders[[#This Row],[Expected_Ship_Date]]</f>
        <v>0</v>
      </c>
    </row>
    <row r="581" spans="1:15" x14ac:dyDescent="0.25">
      <c r="A581" t="s">
        <v>626</v>
      </c>
      <c r="B581" t="s">
        <v>78</v>
      </c>
      <c r="C581" t="s">
        <v>43</v>
      </c>
      <c r="D581" t="s">
        <v>59</v>
      </c>
      <c r="E581" t="s">
        <v>31</v>
      </c>
      <c r="F581" s="1">
        <v>45694</v>
      </c>
      <c r="G581" s="1">
        <v>45701</v>
      </c>
      <c r="H581" s="1">
        <v>45703</v>
      </c>
      <c r="I581" s="1">
        <v>45706</v>
      </c>
      <c r="J581" t="s">
        <v>27</v>
      </c>
      <c r="K581">
        <v>176</v>
      </c>
      <c r="L581">
        <v>113.24</v>
      </c>
      <c r="M581">
        <v>19930.240000000002</v>
      </c>
      <c r="N581">
        <v>9</v>
      </c>
      <c r="O581">
        <f>Orders[[#This Row],[Actual_Ship_Date]]-Orders[[#This Row],[Expected_Ship_Date]]</f>
        <v>2</v>
      </c>
    </row>
    <row r="582" spans="1:15" x14ac:dyDescent="0.25">
      <c r="A582" t="s">
        <v>627</v>
      </c>
      <c r="B582" t="s">
        <v>24</v>
      </c>
      <c r="C582" t="s">
        <v>25</v>
      </c>
      <c r="D582" t="s">
        <v>22</v>
      </c>
      <c r="E582" t="s">
        <v>40</v>
      </c>
      <c r="F582" s="1">
        <v>45659</v>
      </c>
      <c r="G582" s="1">
        <v>45671</v>
      </c>
      <c r="H582" s="1">
        <v>45673</v>
      </c>
      <c r="I582" s="1">
        <v>45678</v>
      </c>
      <c r="J582" t="s">
        <v>32</v>
      </c>
      <c r="K582">
        <v>143</v>
      </c>
      <c r="L582">
        <v>307.52</v>
      </c>
      <c r="M582">
        <v>43975.360000000001</v>
      </c>
      <c r="N582">
        <v>14</v>
      </c>
      <c r="O582">
        <f>Orders[[#This Row],[Actual_Ship_Date]]-Orders[[#This Row],[Expected_Ship_Date]]</f>
        <v>2</v>
      </c>
    </row>
    <row r="583" spans="1:15" x14ac:dyDescent="0.25">
      <c r="A583" t="s">
        <v>628</v>
      </c>
      <c r="B583" t="s">
        <v>24</v>
      </c>
      <c r="C583" t="s">
        <v>30</v>
      </c>
      <c r="D583" t="s">
        <v>35</v>
      </c>
      <c r="E583" t="s">
        <v>26</v>
      </c>
      <c r="F583" s="1">
        <v>45760</v>
      </c>
      <c r="G583" s="1">
        <v>45767</v>
      </c>
      <c r="H583" s="1">
        <v>45769</v>
      </c>
      <c r="I583" s="1">
        <v>45771</v>
      </c>
      <c r="J583" t="s">
        <v>32</v>
      </c>
      <c r="K583">
        <v>84</v>
      </c>
      <c r="L583">
        <v>527.07000000000005</v>
      </c>
      <c r="M583">
        <v>44273.88</v>
      </c>
      <c r="N583">
        <v>9</v>
      </c>
      <c r="O583">
        <f>Orders[[#This Row],[Actual_Ship_Date]]-Orders[[#This Row],[Expected_Ship_Date]]</f>
        <v>2</v>
      </c>
    </row>
    <row r="584" spans="1:15" x14ac:dyDescent="0.25">
      <c r="A584" t="s">
        <v>629</v>
      </c>
      <c r="B584" t="s">
        <v>38</v>
      </c>
      <c r="C584" t="s">
        <v>43</v>
      </c>
      <c r="D584" t="s">
        <v>17</v>
      </c>
      <c r="E584" t="s">
        <v>63</v>
      </c>
      <c r="F584" s="1">
        <v>45661</v>
      </c>
      <c r="G584" s="1">
        <v>45671</v>
      </c>
      <c r="H584" s="1">
        <v>45674</v>
      </c>
      <c r="I584" s="1">
        <v>45675</v>
      </c>
      <c r="J584" t="s">
        <v>32</v>
      </c>
      <c r="K584">
        <v>18</v>
      </c>
      <c r="L584">
        <v>86.91</v>
      </c>
      <c r="M584">
        <v>1564.38</v>
      </c>
      <c r="N584">
        <v>13</v>
      </c>
      <c r="O584">
        <f>Orders[[#This Row],[Actual_Ship_Date]]-Orders[[#This Row],[Expected_Ship_Date]]</f>
        <v>3</v>
      </c>
    </row>
    <row r="585" spans="1:15" x14ac:dyDescent="0.25">
      <c r="A585" t="s">
        <v>630</v>
      </c>
      <c r="B585" t="s">
        <v>45</v>
      </c>
      <c r="C585" t="s">
        <v>16</v>
      </c>
      <c r="D585" t="s">
        <v>39</v>
      </c>
      <c r="E585" t="s">
        <v>63</v>
      </c>
      <c r="F585" s="1">
        <v>45738</v>
      </c>
      <c r="G585" s="1">
        <v>45752</v>
      </c>
      <c r="H585" s="1">
        <v>45755</v>
      </c>
      <c r="I585" s="1">
        <v>45759</v>
      </c>
      <c r="J585" t="s">
        <v>27</v>
      </c>
      <c r="K585">
        <v>84</v>
      </c>
      <c r="L585">
        <v>292.5</v>
      </c>
      <c r="M585">
        <v>24570</v>
      </c>
      <c r="N585">
        <v>17</v>
      </c>
      <c r="O585">
        <f>Orders[[#This Row],[Actual_Ship_Date]]-Orders[[#This Row],[Expected_Ship_Date]]</f>
        <v>3</v>
      </c>
    </row>
    <row r="586" spans="1:15" x14ac:dyDescent="0.25">
      <c r="A586" t="s">
        <v>631</v>
      </c>
      <c r="B586" t="s">
        <v>53</v>
      </c>
      <c r="C586" t="s">
        <v>30</v>
      </c>
      <c r="D586" t="s">
        <v>22</v>
      </c>
      <c r="E586" t="s">
        <v>26</v>
      </c>
      <c r="F586" s="1">
        <v>45674</v>
      </c>
      <c r="G586" s="1">
        <v>45678</v>
      </c>
      <c r="H586" s="1">
        <v>45683</v>
      </c>
      <c r="I586" s="1">
        <v>45687</v>
      </c>
      <c r="J586" t="s">
        <v>32</v>
      </c>
      <c r="K586">
        <v>84</v>
      </c>
      <c r="L586">
        <v>586.54</v>
      </c>
      <c r="M586">
        <v>49269.36</v>
      </c>
      <c r="N586">
        <v>9</v>
      </c>
      <c r="O586">
        <f>Orders[[#This Row],[Actual_Ship_Date]]-Orders[[#This Row],[Expected_Ship_Date]]</f>
        <v>5</v>
      </c>
    </row>
    <row r="587" spans="1:15" x14ac:dyDescent="0.25">
      <c r="A587" t="s">
        <v>632</v>
      </c>
      <c r="B587" t="s">
        <v>24</v>
      </c>
      <c r="C587" t="s">
        <v>30</v>
      </c>
      <c r="D587" t="s">
        <v>39</v>
      </c>
      <c r="E587" t="s">
        <v>31</v>
      </c>
      <c r="F587" s="1">
        <v>45676</v>
      </c>
      <c r="G587" s="1">
        <v>45688</v>
      </c>
      <c r="H587" s="1">
        <v>45688</v>
      </c>
      <c r="I587" s="1">
        <v>45691</v>
      </c>
      <c r="J587" t="s">
        <v>32</v>
      </c>
      <c r="K587">
        <v>175</v>
      </c>
      <c r="L587">
        <v>290.82</v>
      </c>
      <c r="M587">
        <v>50893.5</v>
      </c>
      <c r="N587">
        <v>12</v>
      </c>
      <c r="O587">
        <f>Orders[[#This Row],[Actual_Ship_Date]]-Orders[[#This Row],[Expected_Ship_Date]]</f>
        <v>0</v>
      </c>
    </row>
    <row r="588" spans="1:15" x14ac:dyDescent="0.25">
      <c r="A588" t="s">
        <v>633</v>
      </c>
      <c r="B588" t="s">
        <v>24</v>
      </c>
      <c r="C588" t="s">
        <v>43</v>
      </c>
      <c r="D588" t="s">
        <v>17</v>
      </c>
      <c r="E588" t="s">
        <v>31</v>
      </c>
      <c r="F588" s="1">
        <v>45666</v>
      </c>
      <c r="G588" s="1">
        <v>45676</v>
      </c>
      <c r="H588" s="1">
        <v>45676</v>
      </c>
      <c r="I588" s="1">
        <v>45679</v>
      </c>
      <c r="J588" t="s">
        <v>36</v>
      </c>
      <c r="K588">
        <v>48</v>
      </c>
      <c r="L588">
        <v>250.68</v>
      </c>
      <c r="M588">
        <v>12032.64</v>
      </c>
      <c r="N588">
        <v>10</v>
      </c>
      <c r="O588">
        <f>Orders[[#This Row],[Actual_Ship_Date]]-Orders[[#This Row],[Expected_Ship_Date]]</f>
        <v>0</v>
      </c>
    </row>
    <row r="589" spans="1:15" x14ac:dyDescent="0.25">
      <c r="A589" t="s">
        <v>634</v>
      </c>
      <c r="B589" t="s">
        <v>56</v>
      </c>
      <c r="C589" t="s">
        <v>30</v>
      </c>
      <c r="D589" t="s">
        <v>39</v>
      </c>
      <c r="E589" t="s">
        <v>63</v>
      </c>
      <c r="F589" s="1">
        <v>45709</v>
      </c>
      <c r="G589" s="1">
        <v>45723</v>
      </c>
      <c r="H589" s="1">
        <v>45728</v>
      </c>
      <c r="I589" s="1">
        <v>45729</v>
      </c>
      <c r="J589" t="s">
        <v>27</v>
      </c>
      <c r="K589">
        <v>171</v>
      </c>
      <c r="L589">
        <v>74.22</v>
      </c>
      <c r="M589">
        <v>12691.62</v>
      </c>
      <c r="N589">
        <v>19</v>
      </c>
      <c r="O589">
        <f>Orders[[#This Row],[Actual_Ship_Date]]-Orders[[#This Row],[Expected_Ship_Date]]</f>
        <v>5</v>
      </c>
    </row>
    <row r="590" spans="1:15" x14ac:dyDescent="0.25">
      <c r="A590" t="s">
        <v>635</v>
      </c>
      <c r="B590" t="s">
        <v>24</v>
      </c>
      <c r="C590" t="s">
        <v>34</v>
      </c>
      <c r="D590" t="s">
        <v>17</v>
      </c>
      <c r="E590" t="s">
        <v>18</v>
      </c>
      <c r="F590" s="1">
        <v>45710</v>
      </c>
      <c r="G590" s="1">
        <v>45716</v>
      </c>
      <c r="H590" s="1">
        <v>45718</v>
      </c>
      <c r="I590" s="1">
        <v>45720</v>
      </c>
      <c r="J590" t="s">
        <v>27</v>
      </c>
      <c r="K590">
        <v>128</v>
      </c>
      <c r="L590">
        <v>335.49</v>
      </c>
      <c r="M590">
        <v>42942.720000000001</v>
      </c>
      <c r="N590">
        <v>8</v>
      </c>
      <c r="O590">
        <f>Orders[[#This Row],[Actual_Ship_Date]]-Orders[[#This Row],[Expected_Ship_Date]]</f>
        <v>2</v>
      </c>
    </row>
    <row r="591" spans="1:15" x14ac:dyDescent="0.25">
      <c r="A591" t="s">
        <v>636</v>
      </c>
      <c r="B591" t="s">
        <v>42</v>
      </c>
      <c r="C591" t="s">
        <v>30</v>
      </c>
      <c r="D591" t="s">
        <v>35</v>
      </c>
      <c r="E591" t="s">
        <v>63</v>
      </c>
      <c r="F591" s="1">
        <v>45758</v>
      </c>
      <c r="G591" s="1">
        <v>45767</v>
      </c>
      <c r="H591" s="1">
        <v>45769</v>
      </c>
      <c r="I591" s="1">
        <v>45772</v>
      </c>
      <c r="J591" t="s">
        <v>27</v>
      </c>
      <c r="K591">
        <v>65</v>
      </c>
      <c r="L591">
        <v>159.53</v>
      </c>
      <c r="M591">
        <v>10369.450000000001</v>
      </c>
      <c r="N591">
        <v>11</v>
      </c>
      <c r="O591">
        <f>Orders[[#This Row],[Actual_Ship_Date]]-Orders[[#This Row],[Expected_Ship_Date]]</f>
        <v>2</v>
      </c>
    </row>
    <row r="592" spans="1:15" x14ac:dyDescent="0.25">
      <c r="A592" t="s">
        <v>637</v>
      </c>
      <c r="B592" t="s">
        <v>38</v>
      </c>
      <c r="C592" t="s">
        <v>16</v>
      </c>
      <c r="D592" t="s">
        <v>17</v>
      </c>
      <c r="E592" t="s">
        <v>31</v>
      </c>
      <c r="F592" s="1">
        <v>45734</v>
      </c>
      <c r="G592" s="1">
        <v>45744</v>
      </c>
      <c r="H592" s="1">
        <v>45744</v>
      </c>
      <c r="I592" s="1">
        <v>45749</v>
      </c>
      <c r="J592" t="s">
        <v>19</v>
      </c>
      <c r="K592">
        <v>50</v>
      </c>
      <c r="L592">
        <v>272.20999999999998</v>
      </c>
      <c r="M592">
        <v>13610.5</v>
      </c>
      <c r="N592">
        <v>10</v>
      </c>
      <c r="O592">
        <f>Orders[[#This Row],[Actual_Ship_Date]]-Orders[[#This Row],[Expected_Ship_Date]]</f>
        <v>0</v>
      </c>
    </row>
    <row r="593" spans="1:15" x14ac:dyDescent="0.25">
      <c r="A593" t="s">
        <v>638</v>
      </c>
      <c r="B593" t="s">
        <v>42</v>
      </c>
      <c r="C593" t="s">
        <v>34</v>
      </c>
      <c r="D593" t="s">
        <v>22</v>
      </c>
      <c r="E593" t="s">
        <v>63</v>
      </c>
      <c r="F593" s="1">
        <v>45745</v>
      </c>
      <c r="G593" s="1">
        <v>45757</v>
      </c>
      <c r="H593" s="1">
        <v>45762</v>
      </c>
      <c r="I593" s="1">
        <v>45766</v>
      </c>
      <c r="J593" t="s">
        <v>27</v>
      </c>
      <c r="K593">
        <v>170</v>
      </c>
      <c r="L593">
        <v>566.24</v>
      </c>
      <c r="M593">
        <v>96260.800000000003</v>
      </c>
      <c r="N593">
        <v>17</v>
      </c>
      <c r="O593">
        <f>Orders[[#This Row],[Actual_Ship_Date]]-Orders[[#This Row],[Expected_Ship_Date]]</f>
        <v>5</v>
      </c>
    </row>
    <row r="594" spans="1:15" x14ac:dyDescent="0.25">
      <c r="A594" t="s">
        <v>639</v>
      </c>
      <c r="B594" t="s">
        <v>15</v>
      </c>
      <c r="C594" t="s">
        <v>25</v>
      </c>
      <c r="D594" t="s">
        <v>39</v>
      </c>
      <c r="E594" t="s">
        <v>63</v>
      </c>
      <c r="F594" s="1">
        <v>45773</v>
      </c>
      <c r="G594" s="1">
        <v>45788</v>
      </c>
      <c r="H594" s="1">
        <v>45791</v>
      </c>
      <c r="I594" s="1">
        <v>45792</v>
      </c>
      <c r="J594" t="s">
        <v>27</v>
      </c>
      <c r="K594">
        <v>174</v>
      </c>
      <c r="L594">
        <v>139.6</v>
      </c>
      <c r="M594">
        <v>24290.400000000001</v>
      </c>
      <c r="N594">
        <v>18</v>
      </c>
      <c r="O594">
        <f>Orders[[#This Row],[Actual_Ship_Date]]-Orders[[#This Row],[Expected_Ship_Date]]</f>
        <v>3</v>
      </c>
    </row>
    <row r="595" spans="1:15" x14ac:dyDescent="0.25">
      <c r="A595" t="s">
        <v>640</v>
      </c>
      <c r="B595" t="s">
        <v>38</v>
      </c>
      <c r="C595" t="s">
        <v>46</v>
      </c>
      <c r="D595" t="s">
        <v>35</v>
      </c>
      <c r="E595" t="s">
        <v>63</v>
      </c>
      <c r="F595" s="1">
        <v>45731</v>
      </c>
      <c r="G595" s="1">
        <v>45741</v>
      </c>
      <c r="H595" s="1">
        <v>45741</v>
      </c>
      <c r="I595" s="1">
        <v>45743</v>
      </c>
      <c r="J595" t="s">
        <v>36</v>
      </c>
      <c r="K595">
        <v>178</v>
      </c>
      <c r="L595">
        <v>269.3</v>
      </c>
      <c r="M595">
        <v>47935.4</v>
      </c>
      <c r="N595">
        <v>10</v>
      </c>
      <c r="O595">
        <f>Orders[[#This Row],[Actual_Ship_Date]]-Orders[[#This Row],[Expected_Ship_Date]]</f>
        <v>0</v>
      </c>
    </row>
    <row r="596" spans="1:15" x14ac:dyDescent="0.25">
      <c r="A596" t="s">
        <v>641</v>
      </c>
      <c r="B596" t="s">
        <v>15</v>
      </c>
      <c r="C596" t="s">
        <v>51</v>
      </c>
      <c r="D596" t="s">
        <v>35</v>
      </c>
      <c r="E596" t="s">
        <v>40</v>
      </c>
      <c r="F596" s="1">
        <v>45659</v>
      </c>
      <c r="G596" s="1">
        <v>45671</v>
      </c>
      <c r="H596" s="1">
        <v>45673</v>
      </c>
      <c r="I596" s="1">
        <v>45677</v>
      </c>
      <c r="J596" t="s">
        <v>27</v>
      </c>
      <c r="K596">
        <v>80</v>
      </c>
      <c r="L596">
        <v>67.11</v>
      </c>
      <c r="M596">
        <v>5368.8</v>
      </c>
      <c r="N596">
        <v>14</v>
      </c>
      <c r="O596">
        <f>Orders[[#This Row],[Actual_Ship_Date]]-Orders[[#This Row],[Expected_Ship_Date]]</f>
        <v>2</v>
      </c>
    </row>
    <row r="597" spans="1:15" x14ac:dyDescent="0.25">
      <c r="A597" t="s">
        <v>642</v>
      </c>
      <c r="B597" t="s">
        <v>24</v>
      </c>
      <c r="C597" t="s">
        <v>21</v>
      </c>
      <c r="D597" t="s">
        <v>39</v>
      </c>
      <c r="E597" t="s">
        <v>18</v>
      </c>
      <c r="F597" s="1">
        <v>45729</v>
      </c>
      <c r="G597" s="1">
        <v>45737</v>
      </c>
      <c r="H597" s="1">
        <v>45737</v>
      </c>
      <c r="I597" s="1">
        <v>45740</v>
      </c>
      <c r="J597" t="s">
        <v>19</v>
      </c>
      <c r="K597">
        <v>184</v>
      </c>
      <c r="L597">
        <v>507.79</v>
      </c>
      <c r="M597">
        <v>93433.36</v>
      </c>
      <c r="N597">
        <v>8</v>
      </c>
      <c r="O597">
        <f>Orders[[#This Row],[Actual_Ship_Date]]-Orders[[#This Row],[Expected_Ship_Date]]</f>
        <v>0</v>
      </c>
    </row>
    <row r="598" spans="1:15" x14ac:dyDescent="0.25">
      <c r="A598" t="s">
        <v>643</v>
      </c>
      <c r="B598" t="s">
        <v>24</v>
      </c>
      <c r="C598" t="s">
        <v>21</v>
      </c>
      <c r="D598" t="s">
        <v>22</v>
      </c>
      <c r="E598" t="s">
        <v>57</v>
      </c>
      <c r="F598" s="1">
        <v>45713</v>
      </c>
      <c r="G598" s="1">
        <v>45724</v>
      </c>
      <c r="H598" s="1">
        <v>45724</v>
      </c>
      <c r="I598" s="1">
        <v>45726</v>
      </c>
      <c r="J598" t="s">
        <v>32</v>
      </c>
      <c r="K598">
        <v>147</v>
      </c>
      <c r="L598">
        <v>336.14</v>
      </c>
      <c r="M598">
        <v>49412.58</v>
      </c>
      <c r="N598">
        <v>11</v>
      </c>
      <c r="O598">
        <f>Orders[[#This Row],[Actual_Ship_Date]]-Orders[[#This Row],[Expected_Ship_Date]]</f>
        <v>0</v>
      </c>
    </row>
    <row r="599" spans="1:15" x14ac:dyDescent="0.25">
      <c r="A599" t="s">
        <v>644</v>
      </c>
      <c r="B599" t="s">
        <v>53</v>
      </c>
      <c r="C599" t="s">
        <v>21</v>
      </c>
      <c r="D599" t="s">
        <v>22</v>
      </c>
      <c r="E599" t="s">
        <v>31</v>
      </c>
      <c r="F599" s="1">
        <v>45769</v>
      </c>
      <c r="G599" s="1">
        <v>45782</v>
      </c>
      <c r="H599" s="1">
        <v>45782</v>
      </c>
      <c r="I599" s="1">
        <v>45784</v>
      </c>
      <c r="J599" t="s">
        <v>32</v>
      </c>
      <c r="K599">
        <v>9</v>
      </c>
      <c r="L599">
        <v>135.24</v>
      </c>
      <c r="M599">
        <v>1217.1600000000001</v>
      </c>
      <c r="N599">
        <v>13</v>
      </c>
      <c r="O599">
        <f>Orders[[#This Row],[Actual_Ship_Date]]-Orders[[#This Row],[Expected_Ship_Date]]</f>
        <v>0</v>
      </c>
    </row>
    <row r="600" spans="1:15" x14ac:dyDescent="0.25">
      <c r="A600" t="s">
        <v>645</v>
      </c>
      <c r="B600" t="s">
        <v>38</v>
      </c>
      <c r="C600" t="s">
        <v>43</v>
      </c>
      <c r="D600" t="s">
        <v>39</v>
      </c>
      <c r="E600" t="s">
        <v>63</v>
      </c>
      <c r="F600" s="1">
        <v>45675</v>
      </c>
      <c r="G600" s="1">
        <v>45688</v>
      </c>
      <c r="H600" s="1">
        <v>45693</v>
      </c>
      <c r="I600" s="1">
        <v>45697</v>
      </c>
      <c r="J600" t="s">
        <v>27</v>
      </c>
      <c r="K600">
        <v>183</v>
      </c>
      <c r="L600">
        <v>519.70000000000005</v>
      </c>
      <c r="M600">
        <v>95105.1</v>
      </c>
      <c r="N600">
        <v>18</v>
      </c>
      <c r="O600">
        <f>Orders[[#This Row],[Actual_Ship_Date]]-Orders[[#This Row],[Expected_Ship_Date]]</f>
        <v>5</v>
      </c>
    </row>
    <row r="601" spans="1:15" x14ac:dyDescent="0.25">
      <c r="A601" t="s">
        <v>646</v>
      </c>
      <c r="B601" t="s">
        <v>48</v>
      </c>
      <c r="C601" t="s">
        <v>51</v>
      </c>
      <c r="D601" t="s">
        <v>17</v>
      </c>
      <c r="E601" t="s">
        <v>18</v>
      </c>
      <c r="F601" s="1">
        <v>45712</v>
      </c>
      <c r="G601" s="1">
        <v>45723</v>
      </c>
      <c r="H601" s="1">
        <v>45728</v>
      </c>
      <c r="I601" s="1">
        <v>45732</v>
      </c>
      <c r="J601" t="s">
        <v>27</v>
      </c>
      <c r="K601">
        <v>62</v>
      </c>
      <c r="L601">
        <v>170.14</v>
      </c>
      <c r="M601">
        <v>10548.68</v>
      </c>
      <c r="N601">
        <v>16</v>
      </c>
      <c r="O601">
        <f>Orders[[#This Row],[Actual_Ship_Date]]-Orders[[#This Row],[Expected_Ship_Date]]</f>
        <v>5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7A8FA-C294-417E-B998-B44657B1FD05}">
  <sheetPr codeName="Sheet3"/>
  <dimension ref="A1:P551"/>
  <sheetViews>
    <sheetView tabSelected="1" topLeftCell="B1" workbookViewId="0">
      <selection activeCell="N12" sqref="N12"/>
    </sheetView>
  </sheetViews>
  <sheetFormatPr defaultRowHeight="15" x14ac:dyDescent="0.25"/>
  <cols>
    <col min="1" max="1" width="11.140625" style="7" customWidth="1"/>
    <col min="2" max="2" width="20.5703125" style="7" bestFit="1" customWidth="1"/>
    <col min="3" max="3" width="23.140625" style="7" bestFit="1" customWidth="1"/>
    <col min="4" max="4" width="20.7109375" style="7" customWidth="1"/>
    <col min="5" max="5" width="9.140625" style="7" customWidth="1"/>
    <col min="6" max="6" width="13.42578125" style="7" customWidth="1"/>
    <col min="7" max="7" width="21.28515625" style="7" customWidth="1"/>
    <col min="8" max="8" width="18.7109375" style="7" customWidth="1"/>
    <col min="9" max="9" width="15" style="7" customWidth="1"/>
    <col min="10" max="10" width="14.7109375" style="7" customWidth="1"/>
    <col min="11" max="11" width="10.85546875" style="9" customWidth="1"/>
    <col min="12" max="12" width="16.5703125" style="7" customWidth="1"/>
    <col min="13" max="13" width="19.140625" style="7" customWidth="1"/>
    <col min="14" max="14" width="17.85546875" style="9" customWidth="1"/>
    <col min="15" max="15" width="17.7109375" style="9" customWidth="1"/>
    <col min="16" max="16" width="16.85546875" style="7" bestFit="1" customWidth="1"/>
    <col min="17" max="16384" width="9.140625" style="7"/>
  </cols>
  <sheetData>
    <row r="1" spans="1:16" ht="15.75" thickBot="1" x14ac:dyDescent="0.3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7" t="s">
        <v>10</v>
      </c>
      <c r="L1" s="11" t="s">
        <v>11</v>
      </c>
      <c r="M1" s="11" t="s">
        <v>12</v>
      </c>
      <c r="N1" s="17" t="s">
        <v>13</v>
      </c>
      <c r="O1" s="20" t="s">
        <v>647</v>
      </c>
      <c r="P1" s="11" t="s">
        <v>665</v>
      </c>
    </row>
    <row r="2" spans="1:16" ht="15.75" thickTop="1" x14ac:dyDescent="0.25">
      <c r="A2" s="12" t="s">
        <v>23</v>
      </c>
      <c r="B2" s="13" t="s">
        <v>24</v>
      </c>
      <c r="C2" s="13" t="s">
        <v>25</v>
      </c>
      <c r="D2" s="13" t="s">
        <v>22</v>
      </c>
      <c r="E2" s="13" t="s">
        <v>26</v>
      </c>
      <c r="F2" s="23">
        <v>45733</v>
      </c>
      <c r="G2" s="23">
        <v>45740</v>
      </c>
      <c r="H2" s="23">
        <v>45745</v>
      </c>
      <c r="I2" s="23">
        <v>45746</v>
      </c>
      <c r="J2" s="13" t="s">
        <v>27</v>
      </c>
      <c r="K2" s="18">
        <v>45</v>
      </c>
      <c r="L2" s="13">
        <v>597.95000000000005</v>
      </c>
      <c r="M2" s="13">
        <v>26907.75</v>
      </c>
      <c r="N2" s="18">
        <v>12</v>
      </c>
      <c r="O2" s="21">
        <v>5</v>
      </c>
      <c r="P2" s="27" t="str">
        <f>IF(AND(Late_Orders[[#This Row],[Order_Status]]="Late", Late_Orders[[#This Row],[Shipment_Delay]]&gt;=5),"Yes","No")</f>
        <v>Yes</v>
      </c>
    </row>
    <row r="3" spans="1:16" x14ac:dyDescent="0.25">
      <c r="A3" s="12" t="s">
        <v>37</v>
      </c>
      <c r="B3" s="13" t="s">
        <v>38</v>
      </c>
      <c r="C3" s="13" t="s">
        <v>25</v>
      </c>
      <c r="D3" s="13" t="s">
        <v>39</v>
      </c>
      <c r="E3" s="13" t="s">
        <v>40</v>
      </c>
      <c r="F3" s="23">
        <v>45742</v>
      </c>
      <c r="G3" s="23">
        <v>45748</v>
      </c>
      <c r="H3" s="23">
        <v>45753</v>
      </c>
      <c r="I3" s="23">
        <v>45756</v>
      </c>
      <c r="J3" s="13" t="s">
        <v>27</v>
      </c>
      <c r="K3" s="18">
        <v>64</v>
      </c>
      <c r="L3" s="13">
        <v>738.51</v>
      </c>
      <c r="M3" s="13">
        <v>47264.639999999999</v>
      </c>
      <c r="N3" s="18">
        <v>11</v>
      </c>
      <c r="O3" s="21">
        <v>5</v>
      </c>
      <c r="P3" s="27" t="str">
        <f>IF(AND(Late_Orders[[#This Row],[Order_Status]]="Late", Late_Orders[[#This Row],[Shipment_Delay]]&gt;=5),"Yes","No")</f>
        <v>Yes</v>
      </c>
    </row>
    <row r="4" spans="1:16" x14ac:dyDescent="0.25">
      <c r="A4" s="12" t="s">
        <v>44</v>
      </c>
      <c r="B4" s="13" t="s">
        <v>45</v>
      </c>
      <c r="C4" s="13" t="s">
        <v>46</v>
      </c>
      <c r="D4" s="13" t="s">
        <v>35</v>
      </c>
      <c r="E4" s="13" t="s">
        <v>26</v>
      </c>
      <c r="F4" s="23">
        <v>45689</v>
      </c>
      <c r="G4" s="23">
        <v>45694</v>
      </c>
      <c r="H4" s="23">
        <v>45695</v>
      </c>
      <c r="I4" s="23">
        <v>45699</v>
      </c>
      <c r="J4" s="13" t="s">
        <v>27</v>
      </c>
      <c r="K4" s="18">
        <v>168</v>
      </c>
      <c r="L4" s="13">
        <v>589.62</v>
      </c>
      <c r="M4" s="13">
        <v>99056.16</v>
      </c>
      <c r="N4" s="18">
        <v>6</v>
      </c>
      <c r="O4" s="21">
        <v>1</v>
      </c>
      <c r="P4" s="27" t="str">
        <f>IF(AND(Late_Orders[[#This Row],[Order_Status]]="Late", Late_Orders[[#This Row],[Shipment_Delay]]&gt;=5),"Yes","No")</f>
        <v>No</v>
      </c>
    </row>
    <row r="5" spans="1:16" x14ac:dyDescent="0.25">
      <c r="A5" s="12" t="s">
        <v>47</v>
      </c>
      <c r="B5" s="13" t="s">
        <v>48</v>
      </c>
      <c r="C5" s="13" t="s">
        <v>46</v>
      </c>
      <c r="D5" s="13" t="s">
        <v>22</v>
      </c>
      <c r="E5" s="13" t="s">
        <v>40</v>
      </c>
      <c r="F5" s="23">
        <v>45763</v>
      </c>
      <c r="G5" s="23">
        <v>45766</v>
      </c>
      <c r="H5" s="23">
        <v>45771</v>
      </c>
      <c r="I5" s="23">
        <v>45774</v>
      </c>
      <c r="J5" s="13" t="s">
        <v>27</v>
      </c>
      <c r="K5" s="18">
        <v>21</v>
      </c>
      <c r="L5" s="13">
        <v>191.17</v>
      </c>
      <c r="M5" s="13">
        <v>4014.57</v>
      </c>
      <c r="N5" s="18">
        <v>8</v>
      </c>
      <c r="O5" s="21">
        <v>5</v>
      </c>
      <c r="P5" s="27" t="str">
        <f>IF(AND(Late_Orders[[#This Row],[Order_Status]]="Late", Late_Orders[[#This Row],[Shipment_Delay]]&gt;=5),"Yes","No")</f>
        <v>Yes</v>
      </c>
    </row>
    <row r="6" spans="1:16" x14ac:dyDescent="0.25">
      <c r="A6" s="12" t="s">
        <v>50</v>
      </c>
      <c r="B6" s="13" t="s">
        <v>42</v>
      </c>
      <c r="C6" s="16" t="s">
        <v>51</v>
      </c>
      <c r="D6" s="13" t="s">
        <v>35</v>
      </c>
      <c r="E6" s="13" t="s">
        <v>26</v>
      </c>
      <c r="F6" s="23">
        <v>45772</v>
      </c>
      <c r="G6" s="23">
        <v>45784</v>
      </c>
      <c r="H6" s="23">
        <v>45785</v>
      </c>
      <c r="I6" s="23">
        <v>45788</v>
      </c>
      <c r="J6" s="13" t="s">
        <v>27</v>
      </c>
      <c r="K6" s="18">
        <v>40</v>
      </c>
      <c r="L6" s="13">
        <v>440.45</v>
      </c>
      <c r="M6" s="13">
        <v>17618</v>
      </c>
      <c r="N6" s="18">
        <v>13</v>
      </c>
      <c r="O6" s="21">
        <v>1</v>
      </c>
      <c r="P6" s="27" t="str">
        <f>IF(AND(Late_Orders[[#This Row],[Order_Status]]="Late", Late_Orders[[#This Row],[Shipment_Delay]]&gt;=5),"Yes","No")</f>
        <v>No</v>
      </c>
    </row>
    <row r="7" spans="1:16" x14ac:dyDescent="0.25">
      <c r="A7" s="12" t="s">
        <v>52</v>
      </c>
      <c r="B7" s="13" t="s">
        <v>53</v>
      </c>
      <c r="C7" s="13" t="s">
        <v>25</v>
      </c>
      <c r="D7" s="13" t="s">
        <v>17</v>
      </c>
      <c r="E7" s="13" t="s">
        <v>31</v>
      </c>
      <c r="F7" s="23">
        <v>45738</v>
      </c>
      <c r="G7" s="23">
        <v>45743</v>
      </c>
      <c r="H7" s="23">
        <v>45748</v>
      </c>
      <c r="I7" s="23">
        <v>45752</v>
      </c>
      <c r="J7" s="13" t="s">
        <v>27</v>
      </c>
      <c r="K7" s="18">
        <v>103</v>
      </c>
      <c r="L7" s="13">
        <v>333.65</v>
      </c>
      <c r="M7" s="13">
        <v>34365.949999999997</v>
      </c>
      <c r="N7" s="18">
        <v>10</v>
      </c>
      <c r="O7" s="21">
        <v>5</v>
      </c>
      <c r="P7" s="27" t="str">
        <f>IF(AND(Late_Orders[[#This Row],[Order_Status]]="Late", Late_Orders[[#This Row],[Shipment_Delay]]&gt;=5),"Yes","No")</f>
        <v>Yes</v>
      </c>
    </row>
    <row r="8" spans="1:16" x14ac:dyDescent="0.25">
      <c r="A8" s="12" t="s">
        <v>58</v>
      </c>
      <c r="B8" s="13" t="s">
        <v>29</v>
      </c>
      <c r="C8" s="13" t="s">
        <v>16</v>
      </c>
      <c r="D8" s="13" t="s">
        <v>59</v>
      </c>
      <c r="E8" s="13" t="s">
        <v>57</v>
      </c>
      <c r="F8" s="23">
        <v>45755</v>
      </c>
      <c r="G8" s="23">
        <v>45760</v>
      </c>
      <c r="H8" s="23">
        <v>45762</v>
      </c>
      <c r="I8" s="23">
        <v>45767</v>
      </c>
      <c r="J8" s="13" t="s">
        <v>27</v>
      </c>
      <c r="K8" s="18">
        <v>158</v>
      </c>
      <c r="L8" s="13">
        <v>285.67</v>
      </c>
      <c r="M8" s="13">
        <v>45135.86</v>
      </c>
      <c r="N8" s="18">
        <v>7</v>
      </c>
      <c r="O8" s="21">
        <v>2</v>
      </c>
      <c r="P8" s="27" t="str">
        <f>IF(AND(Late_Orders[[#This Row],[Order_Status]]="Late", Late_Orders[[#This Row],[Shipment_Delay]]&gt;=5),"Yes","No")</f>
        <v>No</v>
      </c>
    </row>
    <row r="9" spans="1:16" x14ac:dyDescent="0.25">
      <c r="A9" s="12" t="s">
        <v>62</v>
      </c>
      <c r="B9" s="13" t="s">
        <v>24</v>
      </c>
      <c r="C9" s="13" t="s">
        <v>51</v>
      </c>
      <c r="D9" s="13" t="s">
        <v>17</v>
      </c>
      <c r="E9" s="13" t="s">
        <v>63</v>
      </c>
      <c r="F9" s="23">
        <v>45741</v>
      </c>
      <c r="G9" s="23">
        <v>45749</v>
      </c>
      <c r="H9" s="23">
        <v>45750</v>
      </c>
      <c r="I9" s="23">
        <v>45755</v>
      </c>
      <c r="J9" s="13" t="s">
        <v>27</v>
      </c>
      <c r="K9" s="18">
        <v>68</v>
      </c>
      <c r="L9" s="13">
        <v>202.62</v>
      </c>
      <c r="M9" s="13">
        <v>13778.16</v>
      </c>
      <c r="N9" s="18">
        <v>9</v>
      </c>
      <c r="O9" s="21">
        <v>1</v>
      </c>
      <c r="P9" s="27" t="str">
        <f>IF(AND(Late_Orders[[#This Row],[Order_Status]]="Late", Late_Orders[[#This Row],[Shipment_Delay]]&gt;=5),"Yes","No")</f>
        <v>No</v>
      </c>
    </row>
    <row r="10" spans="1:16" x14ac:dyDescent="0.25">
      <c r="A10" s="12" t="s">
        <v>65</v>
      </c>
      <c r="B10" s="13" t="s">
        <v>48</v>
      </c>
      <c r="C10" s="13" t="s">
        <v>30</v>
      </c>
      <c r="D10" s="13" t="s">
        <v>22</v>
      </c>
      <c r="E10" s="13" t="s">
        <v>18</v>
      </c>
      <c r="F10" s="23">
        <v>45688</v>
      </c>
      <c r="G10" s="23">
        <v>45695</v>
      </c>
      <c r="H10" s="23">
        <v>45698</v>
      </c>
      <c r="I10" s="23">
        <v>45702</v>
      </c>
      <c r="J10" s="13" t="s">
        <v>27</v>
      </c>
      <c r="K10" s="18">
        <v>38</v>
      </c>
      <c r="L10" s="13">
        <v>619</v>
      </c>
      <c r="M10" s="13">
        <v>23522</v>
      </c>
      <c r="N10" s="18">
        <v>10</v>
      </c>
      <c r="O10" s="21">
        <v>3</v>
      </c>
      <c r="P10" s="27" t="str">
        <f>IF(AND(Late_Orders[[#This Row],[Order_Status]]="Late", Late_Orders[[#This Row],[Shipment_Delay]]&gt;=5),"Yes","No")</f>
        <v>No</v>
      </c>
    </row>
    <row r="11" spans="1:16" x14ac:dyDescent="0.25">
      <c r="A11" s="12" t="s">
        <v>69</v>
      </c>
      <c r="B11" s="13" t="s">
        <v>29</v>
      </c>
      <c r="C11" s="13" t="s">
        <v>21</v>
      </c>
      <c r="D11" s="13" t="s">
        <v>59</v>
      </c>
      <c r="E11" s="13" t="s">
        <v>18</v>
      </c>
      <c r="F11" s="23">
        <v>45710</v>
      </c>
      <c r="G11" s="23">
        <v>45720</v>
      </c>
      <c r="H11" s="23">
        <v>45721</v>
      </c>
      <c r="I11" s="23">
        <v>45723</v>
      </c>
      <c r="J11" s="13" t="s">
        <v>27</v>
      </c>
      <c r="K11" s="18">
        <v>20</v>
      </c>
      <c r="L11" s="13">
        <v>152.47</v>
      </c>
      <c r="M11" s="13">
        <v>3049.4</v>
      </c>
      <c r="N11" s="18">
        <v>11</v>
      </c>
      <c r="O11" s="21">
        <v>1</v>
      </c>
      <c r="P11" s="27" t="str">
        <f>IF(AND(Late_Orders[[#This Row],[Order_Status]]="Late", Late_Orders[[#This Row],[Shipment_Delay]]&gt;=5),"Yes","No")</f>
        <v>No</v>
      </c>
    </row>
    <row r="12" spans="1:16" x14ac:dyDescent="0.25">
      <c r="A12" s="12" t="s">
        <v>70</v>
      </c>
      <c r="B12" s="13" t="s">
        <v>56</v>
      </c>
      <c r="C12" s="13" t="s">
        <v>34</v>
      </c>
      <c r="D12" s="13" t="s">
        <v>35</v>
      </c>
      <c r="E12" s="13" t="s">
        <v>63</v>
      </c>
      <c r="F12" s="23">
        <v>45694</v>
      </c>
      <c r="G12" s="23">
        <v>45703</v>
      </c>
      <c r="H12" s="23">
        <v>45706</v>
      </c>
      <c r="I12" s="23">
        <v>45711</v>
      </c>
      <c r="J12" s="13" t="s">
        <v>27</v>
      </c>
      <c r="K12" s="18">
        <v>129</v>
      </c>
      <c r="L12" s="13">
        <v>144.26</v>
      </c>
      <c r="M12" s="13">
        <v>18609.54</v>
      </c>
      <c r="N12" s="18">
        <v>12</v>
      </c>
      <c r="O12" s="21">
        <v>3</v>
      </c>
      <c r="P12" s="27" t="str">
        <f>IF(AND(Late_Orders[[#This Row],[Order_Status]]="Late", Late_Orders[[#This Row],[Shipment_Delay]]&gt;=5),"Yes","No")</f>
        <v>No</v>
      </c>
    </row>
    <row r="13" spans="1:16" x14ac:dyDescent="0.25">
      <c r="A13" s="12" t="s">
        <v>74</v>
      </c>
      <c r="B13" s="13" t="s">
        <v>29</v>
      </c>
      <c r="C13" s="13" t="s">
        <v>30</v>
      </c>
      <c r="D13" s="13" t="s">
        <v>17</v>
      </c>
      <c r="E13" s="13" t="s">
        <v>63</v>
      </c>
      <c r="F13" s="23">
        <v>45674</v>
      </c>
      <c r="G13" s="23">
        <v>45687</v>
      </c>
      <c r="H13" s="23">
        <v>45690</v>
      </c>
      <c r="I13" s="23">
        <v>45693</v>
      </c>
      <c r="J13" s="13" t="s">
        <v>27</v>
      </c>
      <c r="K13" s="18">
        <v>197</v>
      </c>
      <c r="L13" s="13">
        <v>796.34</v>
      </c>
      <c r="M13" s="13">
        <v>156878.98000000001</v>
      </c>
      <c r="N13" s="18">
        <v>16</v>
      </c>
      <c r="O13" s="21">
        <v>3</v>
      </c>
      <c r="P13" s="27" t="str">
        <f>IF(AND(Late_Orders[[#This Row],[Order_Status]]="Late", Late_Orders[[#This Row],[Shipment_Delay]]&gt;=5),"Yes","No")</f>
        <v>No</v>
      </c>
    </row>
    <row r="14" spans="1:16" x14ac:dyDescent="0.25">
      <c r="A14" s="12" t="s">
        <v>75</v>
      </c>
      <c r="B14" s="13" t="s">
        <v>42</v>
      </c>
      <c r="C14" s="13" t="s">
        <v>34</v>
      </c>
      <c r="D14" s="13" t="s">
        <v>59</v>
      </c>
      <c r="E14" s="13" t="s">
        <v>57</v>
      </c>
      <c r="F14" s="23">
        <v>45670</v>
      </c>
      <c r="G14" s="23">
        <v>45674</v>
      </c>
      <c r="H14" s="23">
        <v>45676</v>
      </c>
      <c r="I14" s="23">
        <v>45678</v>
      </c>
      <c r="J14" s="13" t="s">
        <v>27</v>
      </c>
      <c r="K14" s="18">
        <v>38</v>
      </c>
      <c r="L14" s="13">
        <v>794.27</v>
      </c>
      <c r="M14" s="13">
        <v>30182.26</v>
      </c>
      <c r="N14" s="18">
        <v>6</v>
      </c>
      <c r="O14" s="21">
        <v>2</v>
      </c>
      <c r="P14" s="27" t="str">
        <f>IF(AND(Late_Orders[[#This Row],[Order_Status]]="Late", Late_Orders[[#This Row],[Shipment_Delay]]&gt;=5),"Yes","No")</f>
        <v>No</v>
      </c>
    </row>
    <row r="15" spans="1:16" x14ac:dyDescent="0.25">
      <c r="A15" s="12" t="s">
        <v>76</v>
      </c>
      <c r="B15" s="13" t="s">
        <v>15</v>
      </c>
      <c r="C15" s="13" t="s">
        <v>51</v>
      </c>
      <c r="D15" s="13" t="s">
        <v>17</v>
      </c>
      <c r="E15" s="13" t="s">
        <v>57</v>
      </c>
      <c r="F15" s="23">
        <v>45678</v>
      </c>
      <c r="G15" s="23">
        <v>45688</v>
      </c>
      <c r="H15" s="23">
        <v>45693</v>
      </c>
      <c r="I15" s="23">
        <v>45698</v>
      </c>
      <c r="J15" s="13" t="s">
        <v>27</v>
      </c>
      <c r="K15" s="18">
        <v>161</v>
      </c>
      <c r="L15" s="13">
        <v>836.52</v>
      </c>
      <c r="M15" s="13">
        <v>134679.72</v>
      </c>
      <c r="N15" s="18">
        <v>15</v>
      </c>
      <c r="O15" s="21">
        <v>5</v>
      </c>
      <c r="P15" s="27" t="str">
        <f>IF(AND(Late_Orders[[#This Row],[Order_Status]]="Late", Late_Orders[[#This Row],[Shipment_Delay]]&gt;=5),"Yes","No")</f>
        <v>Yes</v>
      </c>
    </row>
    <row r="16" spans="1:16" x14ac:dyDescent="0.25">
      <c r="A16" s="12" t="s">
        <v>82</v>
      </c>
      <c r="B16" s="13" t="s">
        <v>42</v>
      </c>
      <c r="C16" s="13" t="s">
        <v>46</v>
      </c>
      <c r="D16" s="13" t="s">
        <v>17</v>
      </c>
      <c r="E16" s="13" t="s">
        <v>18</v>
      </c>
      <c r="F16" s="23">
        <v>45704</v>
      </c>
      <c r="G16" s="23">
        <v>45719</v>
      </c>
      <c r="H16" s="23">
        <v>45724</v>
      </c>
      <c r="I16" s="23">
        <v>45725</v>
      </c>
      <c r="J16" s="13" t="s">
        <v>27</v>
      </c>
      <c r="K16" s="18">
        <v>58</v>
      </c>
      <c r="L16" s="13">
        <v>584.53</v>
      </c>
      <c r="M16" s="13">
        <v>33902.74</v>
      </c>
      <c r="N16" s="18">
        <v>20</v>
      </c>
      <c r="O16" s="21">
        <v>5</v>
      </c>
      <c r="P16" s="27" t="str">
        <f>IF(AND(Late_Orders[[#This Row],[Order_Status]]="Late", Late_Orders[[#This Row],[Shipment_Delay]]&gt;=5),"Yes","No")</f>
        <v>Yes</v>
      </c>
    </row>
    <row r="17" spans="1:16" x14ac:dyDescent="0.25">
      <c r="A17" s="12" t="s">
        <v>84</v>
      </c>
      <c r="B17" s="13" t="s">
        <v>29</v>
      </c>
      <c r="C17" s="13" t="s">
        <v>30</v>
      </c>
      <c r="D17" s="13" t="s">
        <v>22</v>
      </c>
      <c r="E17" s="13" t="s">
        <v>26</v>
      </c>
      <c r="F17" s="23">
        <v>45760</v>
      </c>
      <c r="G17" s="23">
        <v>45773</v>
      </c>
      <c r="H17" s="23">
        <v>45778</v>
      </c>
      <c r="I17" s="23">
        <v>45780</v>
      </c>
      <c r="J17" s="13" t="s">
        <v>27</v>
      </c>
      <c r="K17" s="18">
        <v>184</v>
      </c>
      <c r="L17" s="13">
        <v>105.26</v>
      </c>
      <c r="M17" s="13">
        <v>19367.84</v>
      </c>
      <c r="N17" s="18">
        <v>18</v>
      </c>
      <c r="O17" s="21">
        <v>5</v>
      </c>
      <c r="P17" s="27" t="str">
        <f>IF(AND(Late_Orders[[#This Row],[Order_Status]]="Late", Late_Orders[[#This Row],[Shipment_Delay]]&gt;=5),"Yes","No")</f>
        <v>Yes</v>
      </c>
    </row>
    <row r="18" spans="1:16" x14ac:dyDescent="0.25">
      <c r="A18" s="12" t="s">
        <v>86</v>
      </c>
      <c r="B18" s="13" t="s">
        <v>29</v>
      </c>
      <c r="C18" s="13" t="s">
        <v>16</v>
      </c>
      <c r="D18" s="13" t="s">
        <v>59</v>
      </c>
      <c r="E18" s="13" t="s">
        <v>26</v>
      </c>
      <c r="F18" s="23">
        <v>45702</v>
      </c>
      <c r="G18" s="23">
        <v>45715</v>
      </c>
      <c r="H18" s="23">
        <v>45717</v>
      </c>
      <c r="I18" s="23">
        <v>45721</v>
      </c>
      <c r="J18" s="13" t="s">
        <v>27</v>
      </c>
      <c r="K18" s="18">
        <v>142</v>
      </c>
      <c r="L18" s="13">
        <v>291.51</v>
      </c>
      <c r="M18" s="13">
        <v>41394.42</v>
      </c>
      <c r="N18" s="18">
        <v>15</v>
      </c>
      <c r="O18" s="21">
        <v>2</v>
      </c>
      <c r="P18" s="27" t="str">
        <f>IF(AND(Late_Orders[[#This Row],[Order_Status]]="Late", Late_Orders[[#This Row],[Shipment_Delay]]&gt;=5),"Yes","No")</f>
        <v>No</v>
      </c>
    </row>
    <row r="19" spans="1:16" x14ac:dyDescent="0.25">
      <c r="A19" s="12" t="s">
        <v>89</v>
      </c>
      <c r="B19" s="13" t="s">
        <v>56</v>
      </c>
      <c r="C19" s="13" t="s">
        <v>25</v>
      </c>
      <c r="D19" s="13" t="s">
        <v>39</v>
      </c>
      <c r="E19" s="13" t="s">
        <v>57</v>
      </c>
      <c r="F19" s="23">
        <v>45743</v>
      </c>
      <c r="G19" s="23">
        <v>45751</v>
      </c>
      <c r="H19" s="23">
        <v>45753</v>
      </c>
      <c r="I19" s="23">
        <v>45756</v>
      </c>
      <c r="J19" s="13" t="s">
        <v>27</v>
      </c>
      <c r="K19" s="18">
        <v>36</v>
      </c>
      <c r="L19" s="13">
        <v>615.99</v>
      </c>
      <c r="M19" s="13">
        <v>22175.64</v>
      </c>
      <c r="N19" s="18">
        <v>10</v>
      </c>
      <c r="O19" s="21">
        <v>2</v>
      </c>
      <c r="P19" s="27" t="str">
        <f>IF(AND(Late_Orders[[#This Row],[Order_Status]]="Late", Late_Orders[[#This Row],[Shipment_Delay]]&gt;=5),"Yes","No")</f>
        <v>No</v>
      </c>
    </row>
    <row r="20" spans="1:16" x14ac:dyDescent="0.25">
      <c r="A20" s="12" t="s">
        <v>92</v>
      </c>
      <c r="B20" s="13" t="s">
        <v>42</v>
      </c>
      <c r="C20" s="13" t="s">
        <v>25</v>
      </c>
      <c r="D20" s="13" t="s">
        <v>17</v>
      </c>
      <c r="E20" s="13" t="s">
        <v>40</v>
      </c>
      <c r="F20" s="23">
        <v>45744</v>
      </c>
      <c r="G20" s="23">
        <v>45750</v>
      </c>
      <c r="H20" s="23">
        <v>45752</v>
      </c>
      <c r="I20" s="23">
        <v>45756</v>
      </c>
      <c r="J20" s="13" t="s">
        <v>27</v>
      </c>
      <c r="K20" s="18">
        <v>193</v>
      </c>
      <c r="L20" s="13">
        <v>156.69</v>
      </c>
      <c r="M20" s="13">
        <v>30241.17</v>
      </c>
      <c r="N20" s="18">
        <v>8</v>
      </c>
      <c r="O20" s="21">
        <v>2</v>
      </c>
      <c r="P20" s="27" t="str">
        <f>IF(AND(Late_Orders[[#This Row],[Order_Status]]="Late", Late_Orders[[#This Row],[Shipment_Delay]]&gt;=5),"Yes","No")</f>
        <v>No</v>
      </c>
    </row>
    <row r="21" spans="1:16" x14ac:dyDescent="0.25">
      <c r="A21" s="12" t="s">
        <v>94</v>
      </c>
      <c r="B21" s="13" t="s">
        <v>38</v>
      </c>
      <c r="C21" s="13" t="s">
        <v>30</v>
      </c>
      <c r="D21" s="13" t="s">
        <v>39</v>
      </c>
      <c r="E21" s="13" t="s">
        <v>26</v>
      </c>
      <c r="F21" s="23">
        <v>45718</v>
      </c>
      <c r="G21" s="23">
        <v>45730</v>
      </c>
      <c r="H21" s="23">
        <v>45735</v>
      </c>
      <c r="I21" s="23">
        <v>45736</v>
      </c>
      <c r="J21" s="13" t="s">
        <v>27</v>
      </c>
      <c r="K21" s="18">
        <v>166</v>
      </c>
      <c r="L21" s="13">
        <v>495.69</v>
      </c>
      <c r="M21" s="13">
        <v>82284.539999999994</v>
      </c>
      <c r="N21" s="18">
        <v>17</v>
      </c>
      <c r="O21" s="21">
        <v>5</v>
      </c>
      <c r="P21" s="27" t="str">
        <f>IF(AND(Late_Orders[[#This Row],[Order_Status]]="Late", Late_Orders[[#This Row],[Shipment_Delay]]&gt;=5),"Yes","No")</f>
        <v>Yes</v>
      </c>
    </row>
    <row r="22" spans="1:16" x14ac:dyDescent="0.25">
      <c r="A22" s="12" t="s">
        <v>95</v>
      </c>
      <c r="B22" s="13" t="s">
        <v>45</v>
      </c>
      <c r="C22" s="13" t="s">
        <v>43</v>
      </c>
      <c r="D22" s="13" t="s">
        <v>17</v>
      </c>
      <c r="E22" s="13" t="s">
        <v>18</v>
      </c>
      <c r="F22" s="23">
        <v>45676</v>
      </c>
      <c r="G22" s="23">
        <v>45689</v>
      </c>
      <c r="H22" s="23">
        <v>45692</v>
      </c>
      <c r="I22" s="23">
        <v>45693</v>
      </c>
      <c r="J22" s="13" t="s">
        <v>27</v>
      </c>
      <c r="K22" s="18">
        <v>32</v>
      </c>
      <c r="L22" s="13">
        <v>664.98</v>
      </c>
      <c r="M22" s="13">
        <v>21279.360000000001</v>
      </c>
      <c r="N22" s="18">
        <v>16</v>
      </c>
      <c r="O22" s="21">
        <v>3</v>
      </c>
      <c r="P22" s="27" t="str">
        <f>IF(AND(Late_Orders[[#This Row],[Order_Status]]="Late", Late_Orders[[#This Row],[Shipment_Delay]]&gt;=5),"Yes","No")</f>
        <v>No</v>
      </c>
    </row>
    <row r="23" spans="1:16" x14ac:dyDescent="0.25">
      <c r="A23" s="12" t="s">
        <v>97</v>
      </c>
      <c r="B23" s="13" t="s">
        <v>78</v>
      </c>
      <c r="C23" s="13" t="s">
        <v>30</v>
      </c>
      <c r="D23" s="13" t="s">
        <v>39</v>
      </c>
      <c r="E23" s="13" t="s">
        <v>57</v>
      </c>
      <c r="F23" s="23">
        <v>45762</v>
      </c>
      <c r="G23" s="23">
        <v>45776</v>
      </c>
      <c r="H23" s="23">
        <v>45778</v>
      </c>
      <c r="I23" s="23">
        <v>45782</v>
      </c>
      <c r="J23" s="13" t="s">
        <v>27</v>
      </c>
      <c r="K23" s="18">
        <v>145</v>
      </c>
      <c r="L23" s="13">
        <v>387.34</v>
      </c>
      <c r="M23" s="13">
        <v>56164.3</v>
      </c>
      <c r="N23" s="18">
        <v>16</v>
      </c>
      <c r="O23" s="21">
        <v>2</v>
      </c>
      <c r="P23" s="27" t="str">
        <f>IF(AND(Late_Orders[[#This Row],[Order_Status]]="Late", Late_Orders[[#This Row],[Shipment_Delay]]&gt;=5),"Yes","No")</f>
        <v>No</v>
      </c>
    </row>
    <row r="24" spans="1:16" x14ac:dyDescent="0.25">
      <c r="A24" s="12" t="s">
        <v>98</v>
      </c>
      <c r="B24" s="13" t="s">
        <v>45</v>
      </c>
      <c r="C24" s="13" t="s">
        <v>25</v>
      </c>
      <c r="D24" s="13" t="s">
        <v>39</v>
      </c>
      <c r="E24" s="13" t="s">
        <v>31</v>
      </c>
      <c r="F24" s="23">
        <v>45754</v>
      </c>
      <c r="G24" s="23">
        <v>45760</v>
      </c>
      <c r="H24" s="23">
        <v>45765</v>
      </c>
      <c r="I24" s="23">
        <v>45768</v>
      </c>
      <c r="J24" s="13" t="s">
        <v>27</v>
      </c>
      <c r="K24" s="18">
        <v>138</v>
      </c>
      <c r="L24" s="13">
        <v>419.64</v>
      </c>
      <c r="M24" s="13">
        <v>57910.32</v>
      </c>
      <c r="N24" s="18">
        <v>11</v>
      </c>
      <c r="O24" s="21">
        <v>5</v>
      </c>
      <c r="P24" s="27" t="str">
        <f>IF(AND(Late_Orders[[#This Row],[Order_Status]]="Late", Late_Orders[[#This Row],[Shipment_Delay]]&gt;=5),"Yes","No")</f>
        <v>Yes</v>
      </c>
    </row>
    <row r="25" spans="1:16" x14ac:dyDescent="0.25">
      <c r="A25" s="12" t="s">
        <v>101</v>
      </c>
      <c r="B25" s="13" t="s">
        <v>53</v>
      </c>
      <c r="C25" s="13" t="s">
        <v>51</v>
      </c>
      <c r="D25" s="13" t="s">
        <v>59</v>
      </c>
      <c r="E25" s="13" t="s">
        <v>57</v>
      </c>
      <c r="F25" s="23">
        <v>45773</v>
      </c>
      <c r="G25" s="23">
        <v>45788</v>
      </c>
      <c r="H25" s="23">
        <v>45790</v>
      </c>
      <c r="I25" s="23">
        <v>45791</v>
      </c>
      <c r="J25" s="13" t="s">
        <v>27</v>
      </c>
      <c r="K25" s="18">
        <v>200</v>
      </c>
      <c r="L25" s="13">
        <v>495.7</v>
      </c>
      <c r="M25" s="13">
        <v>99140</v>
      </c>
      <c r="N25" s="18">
        <v>17</v>
      </c>
      <c r="O25" s="21">
        <v>2</v>
      </c>
      <c r="P25" s="27" t="str">
        <f>IF(AND(Late_Orders[[#This Row],[Order_Status]]="Late", Late_Orders[[#This Row],[Shipment_Delay]]&gt;=5),"Yes","No")</f>
        <v>No</v>
      </c>
    </row>
    <row r="26" spans="1:16" x14ac:dyDescent="0.25">
      <c r="A26" s="12" t="s">
        <v>102</v>
      </c>
      <c r="B26" s="13" t="s">
        <v>48</v>
      </c>
      <c r="C26" s="13" t="s">
        <v>34</v>
      </c>
      <c r="D26" s="13" t="s">
        <v>39</v>
      </c>
      <c r="E26" s="13" t="s">
        <v>26</v>
      </c>
      <c r="F26" s="23">
        <v>45754</v>
      </c>
      <c r="G26" s="23">
        <v>45763</v>
      </c>
      <c r="H26" s="23">
        <v>45768</v>
      </c>
      <c r="I26" s="23">
        <v>45772</v>
      </c>
      <c r="J26" s="13" t="s">
        <v>27</v>
      </c>
      <c r="K26" s="18">
        <v>193</v>
      </c>
      <c r="L26" s="13">
        <v>471.02</v>
      </c>
      <c r="M26" s="13">
        <v>90906.86</v>
      </c>
      <c r="N26" s="18">
        <v>14</v>
      </c>
      <c r="O26" s="21">
        <v>5</v>
      </c>
      <c r="P26" s="27" t="str">
        <f>IF(AND(Late_Orders[[#This Row],[Order_Status]]="Late", Late_Orders[[#This Row],[Shipment_Delay]]&gt;=5),"Yes","No")</f>
        <v>Yes</v>
      </c>
    </row>
    <row r="27" spans="1:16" x14ac:dyDescent="0.25">
      <c r="A27" s="12" t="s">
        <v>103</v>
      </c>
      <c r="B27" s="13" t="s">
        <v>38</v>
      </c>
      <c r="C27" s="13" t="s">
        <v>43</v>
      </c>
      <c r="D27" s="13" t="s">
        <v>39</v>
      </c>
      <c r="E27" s="13" t="s">
        <v>26</v>
      </c>
      <c r="F27" s="23">
        <v>45692</v>
      </c>
      <c r="G27" s="23">
        <v>45701</v>
      </c>
      <c r="H27" s="23">
        <v>45702</v>
      </c>
      <c r="I27" s="23">
        <v>45703</v>
      </c>
      <c r="J27" s="13" t="s">
        <v>27</v>
      </c>
      <c r="K27" s="18">
        <v>176</v>
      </c>
      <c r="L27" s="13">
        <v>582.08000000000004</v>
      </c>
      <c r="M27" s="13">
        <v>102446.08</v>
      </c>
      <c r="N27" s="18">
        <v>10</v>
      </c>
      <c r="O27" s="21">
        <v>1</v>
      </c>
      <c r="P27" s="27" t="str">
        <f>IF(AND(Late_Orders[[#This Row],[Order_Status]]="Late", Late_Orders[[#This Row],[Shipment_Delay]]&gt;=5),"Yes","No")</f>
        <v>No</v>
      </c>
    </row>
    <row r="28" spans="1:16" x14ac:dyDescent="0.25">
      <c r="A28" s="12" t="s">
        <v>106</v>
      </c>
      <c r="B28" s="13" t="s">
        <v>42</v>
      </c>
      <c r="C28" s="13" t="s">
        <v>51</v>
      </c>
      <c r="D28" s="13" t="s">
        <v>35</v>
      </c>
      <c r="E28" s="13" t="s">
        <v>26</v>
      </c>
      <c r="F28" s="23">
        <v>45660</v>
      </c>
      <c r="G28" s="23">
        <v>45674</v>
      </c>
      <c r="H28" s="23">
        <v>45676</v>
      </c>
      <c r="I28" s="23">
        <v>45677</v>
      </c>
      <c r="J28" s="13" t="s">
        <v>27</v>
      </c>
      <c r="K28" s="18">
        <v>94</v>
      </c>
      <c r="L28" s="13">
        <v>202.23</v>
      </c>
      <c r="M28" s="13">
        <v>19009.62</v>
      </c>
      <c r="N28" s="18">
        <v>16</v>
      </c>
      <c r="O28" s="21">
        <v>2</v>
      </c>
      <c r="P28" s="27" t="str">
        <f>IF(AND(Late_Orders[[#This Row],[Order_Status]]="Late", Late_Orders[[#This Row],[Shipment_Delay]]&gt;=5),"Yes","No")</f>
        <v>No</v>
      </c>
    </row>
    <row r="29" spans="1:16" x14ac:dyDescent="0.25">
      <c r="A29" s="12" t="s">
        <v>107</v>
      </c>
      <c r="B29" s="13" t="s">
        <v>48</v>
      </c>
      <c r="C29" s="13" t="s">
        <v>34</v>
      </c>
      <c r="D29" s="13" t="s">
        <v>39</v>
      </c>
      <c r="E29" s="13" t="s">
        <v>40</v>
      </c>
      <c r="F29" s="23">
        <v>45683</v>
      </c>
      <c r="G29" s="23">
        <v>45686</v>
      </c>
      <c r="H29" s="23">
        <v>45688</v>
      </c>
      <c r="I29" s="23">
        <v>45690</v>
      </c>
      <c r="J29" s="13" t="s">
        <v>27</v>
      </c>
      <c r="K29" s="18">
        <v>126</v>
      </c>
      <c r="L29" s="13">
        <v>574</v>
      </c>
      <c r="M29" s="13">
        <v>72324</v>
      </c>
      <c r="N29" s="18">
        <v>5</v>
      </c>
      <c r="O29" s="21">
        <v>2</v>
      </c>
      <c r="P29" s="27" t="str">
        <f>IF(AND(Late_Orders[[#This Row],[Order_Status]]="Late", Late_Orders[[#This Row],[Shipment_Delay]]&gt;=5),"Yes","No")</f>
        <v>No</v>
      </c>
    </row>
    <row r="30" spans="1:16" x14ac:dyDescent="0.25">
      <c r="A30" s="12" t="s">
        <v>112</v>
      </c>
      <c r="B30" s="13" t="s">
        <v>48</v>
      </c>
      <c r="C30" s="13" t="s">
        <v>25</v>
      </c>
      <c r="D30" s="13" t="s">
        <v>59</v>
      </c>
      <c r="E30" s="13" t="s">
        <v>26</v>
      </c>
      <c r="F30" s="23">
        <v>45692</v>
      </c>
      <c r="G30" s="23">
        <v>45704</v>
      </c>
      <c r="H30" s="23">
        <v>45709</v>
      </c>
      <c r="I30" s="23">
        <v>45714</v>
      </c>
      <c r="J30" s="13" t="s">
        <v>27</v>
      </c>
      <c r="K30" s="18">
        <v>124</v>
      </c>
      <c r="L30" s="13">
        <v>378.7</v>
      </c>
      <c r="M30" s="13">
        <v>46958.8</v>
      </c>
      <c r="N30" s="18">
        <v>17</v>
      </c>
      <c r="O30" s="21">
        <v>5</v>
      </c>
      <c r="P30" s="27" t="str">
        <f>IF(AND(Late_Orders[[#This Row],[Order_Status]]="Late", Late_Orders[[#This Row],[Shipment_Delay]]&gt;=5),"Yes","No")</f>
        <v>Yes</v>
      </c>
    </row>
    <row r="31" spans="1:16" x14ac:dyDescent="0.25">
      <c r="A31" s="12" t="s">
        <v>125</v>
      </c>
      <c r="B31" s="13" t="s">
        <v>45</v>
      </c>
      <c r="C31" s="13" t="s">
        <v>25</v>
      </c>
      <c r="D31" s="13" t="s">
        <v>17</v>
      </c>
      <c r="E31" s="13" t="s">
        <v>40</v>
      </c>
      <c r="F31" s="23">
        <v>45687</v>
      </c>
      <c r="G31" s="23">
        <v>45694</v>
      </c>
      <c r="H31" s="23">
        <v>45697</v>
      </c>
      <c r="I31" s="23">
        <v>45700</v>
      </c>
      <c r="J31" s="13" t="s">
        <v>27</v>
      </c>
      <c r="K31" s="18">
        <v>121</v>
      </c>
      <c r="L31" s="13">
        <v>74.44</v>
      </c>
      <c r="M31" s="13">
        <v>9007.24</v>
      </c>
      <c r="N31" s="18">
        <v>10</v>
      </c>
      <c r="O31" s="21">
        <v>3</v>
      </c>
      <c r="P31" s="27" t="str">
        <f>IF(AND(Late_Orders[[#This Row],[Order_Status]]="Late", Late_Orders[[#This Row],[Shipment_Delay]]&gt;=5),"Yes","No")</f>
        <v>No</v>
      </c>
    </row>
    <row r="32" spans="1:16" x14ac:dyDescent="0.25">
      <c r="A32" s="12" t="s">
        <v>126</v>
      </c>
      <c r="B32" s="13" t="s">
        <v>56</v>
      </c>
      <c r="C32" s="13" t="s">
        <v>43</v>
      </c>
      <c r="D32" s="13" t="s">
        <v>35</v>
      </c>
      <c r="E32" s="13" t="s">
        <v>31</v>
      </c>
      <c r="F32" s="23">
        <v>45760</v>
      </c>
      <c r="G32" s="23">
        <v>45766</v>
      </c>
      <c r="H32" s="23">
        <v>45767</v>
      </c>
      <c r="I32" s="23">
        <v>45768</v>
      </c>
      <c r="J32" s="13" t="s">
        <v>27</v>
      </c>
      <c r="K32" s="18">
        <v>170</v>
      </c>
      <c r="L32" s="13">
        <v>139.41</v>
      </c>
      <c r="M32" s="13">
        <v>23699.7</v>
      </c>
      <c r="N32" s="18">
        <v>7</v>
      </c>
      <c r="O32" s="21">
        <v>1</v>
      </c>
      <c r="P32" s="27" t="str">
        <f>IF(AND(Late_Orders[[#This Row],[Order_Status]]="Late", Late_Orders[[#This Row],[Shipment_Delay]]&gt;=5),"Yes","No")</f>
        <v>No</v>
      </c>
    </row>
    <row r="33" spans="1:16" x14ac:dyDescent="0.25">
      <c r="A33" s="12" t="s">
        <v>129</v>
      </c>
      <c r="B33" s="13" t="s">
        <v>48</v>
      </c>
      <c r="C33" s="13" t="s">
        <v>51</v>
      </c>
      <c r="D33" s="13" t="s">
        <v>22</v>
      </c>
      <c r="E33" s="13" t="s">
        <v>18</v>
      </c>
      <c r="F33" s="23">
        <v>45744</v>
      </c>
      <c r="G33" s="23">
        <v>45756</v>
      </c>
      <c r="H33" s="23">
        <v>45758</v>
      </c>
      <c r="I33" s="23">
        <v>45759</v>
      </c>
      <c r="J33" s="13" t="s">
        <v>27</v>
      </c>
      <c r="K33" s="18">
        <v>177</v>
      </c>
      <c r="L33" s="13">
        <v>700.89</v>
      </c>
      <c r="M33" s="13">
        <v>124057.53</v>
      </c>
      <c r="N33" s="18">
        <v>14</v>
      </c>
      <c r="O33" s="21">
        <v>2</v>
      </c>
      <c r="P33" s="27" t="str">
        <f>IF(AND(Late_Orders[[#This Row],[Order_Status]]="Late", Late_Orders[[#This Row],[Shipment_Delay]]&gt;=5),"Yes","No")</f>
        <v>No</v>
      </c>
    </row>
    <row r="34" spans="1:16" x14ac:dyDescent="0.25">
      <c r="A34" s="12" t="s">
        <v>135</v>
      </c>
      <c r="B34" s="13" t="s">
        <v>42</v>
      </c>
      <c r="C34" s="13" t="s">
        <v>43</v>
      </c>
      <c r="D34" s="13" t="s">
        <v>39</v>
      </c>
      <c r="E34" s="13" t="s">
        <v>40</v>
      </c>
      <c r="F34" s="23">
        <v>45659</v>
      </c>
      <c r="G34" s="23">
        <v>45670</v>
      </c>
      <c r="H34" s="23">
        <v>45671</v>
      </c>
      <c r="I34" s="23">
        <v>45672</v>
      </c>
      <c r="J34" s="13" t="s">
        <v>27</v>
      </c>
      <c r="K34" s="18">
        <v>34</v>
      </c>
      <c r="L34" s="13">
        <v>400.31</v>
      </c>
      <c r="M34" s="13">
        <v>13610.54</v>
      </c>
      <c r="N34" s="18">
        <v>12</v>
      </c>
      <c r="O34" s="21">
        <v>1</v>
      </c>
      <c r="P34" s="27" t="str">
        <f>IF(AND(Late_Orders[[#This Row],[Order_Status]]="Late", Late_Orders[[#This Row],[Shipment_Delay]]&gt;=5),"Yes","No")</f>
        <v>No</v>
      </c>
    </row>
    <row r="35" spans="1:16" x14ac:dyDescent="0.25">
      <c r="A35" s="12" t="s">
        <v>136</v>
      </c>
      <c r="B35" s="13" t="s">
        <v>45</v>
      </c>
      <c r="C35" s="13" t="s">
        <v>30</v>
      </c>
      <c r="D35" s="13" t="s">
        <v>17</v>
      </c>
      <c r="E35" s="13" t="s">
        <v>26</v>
      </c>
      <c r="F35" s="23">
        <v>45695</v>
      </c>
      <c r="G35" s="23">
        <v>45706</v>
      </c>
      <c r="H35" s="23">
        <v>45709</v>
      </c>
      <c r="I35" s="23">
        <v>45712</v>
      </c>
      <c r="J35" s="13" t="s">
        <v>27</v>
      </c>
      <c r="K35" s="18">
        <v>128</v>
      </c>
      <c r="L35" s="13">
        <v>833.5</v>
      </c>
      <c r="M35" s="13">
        <v>106688</v>
      </c>
      <c r="N35" s="18">
        <v>14</v>
      </c>
      <c r="O35" s="21">
        <v>3</v>
      </c>
      <c r="P35" s="27" t="str">
        <f>IF(AND(Late_Orders[[#This Row],[Order_Status]]="Late", Late_Orders[[#This Row],[Shipment_Delay]]&gt;=5),"Yes","No")</f>
        <v>No</v>
      </c>
    </row>
    <row r="36" spans="1:16" x14ac:dyDescent="0.25">
      <c r="A36" s="12" t="s">
        <v>137</v>
      </c>
      <c r="B36" s="13" t="s">
        <v>56</v>
      </c>
      <c r="C36" s="13" t="s">
        <v>21</v>
      </c>
      <c r="D36" s="13" t="s">
        <v>59</v>
      </c>
      <c r="E36" s="13" t="s">
        <v>63</v>
      </c>
      <c r="F36" s="23">
        <v>45707</v>
      </c>
      <c r="G36" s="23">
        <v>45713</v>
      </c>
      <c r="H36" s="23">
        <v>45715</v>
      </c>
      <c r="I36" s="23">
        <v>45720</v>
      </c>
      <c r="J36" s="13" t="s">
        <v>27</v>
      </c>
      <c r="K36" s="18">
        <v>39</v>
      </c>
      <c r="L36" s="13">
        <v>736.46</v>
      </c>
      <c r="M36" s="13">
        <v>28721.94</v>
      </c>
      <c r="N36" s="18">
        <v>8</v>
      </c>
      <c r="O36" s="21">
        <v>2</v>
      </c>
      <c r="P36" s="27" t="str">
        <f>IF(AND(Late_Orders[[#This Row],[Order_Status]]="Late", Late_Orders[[#This Row],[Shipment_Delay]]&gt;=5),"Yes","No")</f>
        <v>No</v>
      </c>
    </row>
    <row r="37" spans="1:16" x14ac:dyDescent="0.25">
      <c r="A37" s="12" t="s">
        <v>140</v>
      </c>
      <c r="B37" s="13" t="s">
        <v>78</v>
      </c>
      <c r="C37" s="13" t="s">
        <v>30</v>
      </c>
      <c r="D37" s="13" t="s">
        <v>35</v>
      </c>
      <c r="E37" s="13" t="s">
        <v>26</v>
      </c>
      <c r="F37" s="23">
        <v>45718</v>
      </c>
      <c r="G37" s="23">
        <v>45732</v>
      </c>
      <c r="H37" s="23">
        <v>45737</v>
      </c>
      <c r="I37" s="23">
        <v>45741</v>
      </c>
      <c r="J37" s="13" t="s">
        <v>27</v>
      </c>
      <c r="K37" s="18">
        <v>174</v>
      </c>
      <c r="L37" s="13">
        <v>676.65</v>
      </c>
      <c r="M37" s="13">
        <v>117737.1</v>
      </c>
      <c r="N37" s="18">
        <v>19</v>
      </c>
      <c r="O37" s="21">
        <v>5</v>
      </c>
      <c r="P37" s="27" t="str">
        <f>IF(AND(Late_Orders[[#This Row],[Order_Status]]="Late", Late_Orders[[#This Row],[Shipment_Delay]]&gt;=5),"Yes","No")</f>
        <v>Yes</v>
      </c>
    </row>
    <row r="38" spans="1:16" x14ac:dyDescent="0.25">
      <c r="A38" s="12" t="s">
        <v>144</v>
      </c>
      <c r="B38" s="13" t="s">
        <v>29</v>
      </c>
      <c r="C38" s="13" t="s">
        <v>51</v>
      </c>
      <c r="D38" s="13" t="s">
        <v>59</v>
      </c>
      <c r="E38" s="13" t="s">
        <v>31</v>
      </c>
      <c r="F38" s="23">
        <v>45670</v>
      </c>
      <c r="G38" s="23">
        <v>45685</v>
      </c>
      <c r="H38" s="23">
        <v>45688</v>
      </c>
      <c r="I38" s="23">
        <v>45689</v>
      </c>
      <c r="J38" s="13" t="s">
        <v>27</v>
      </c>
      <c r="K38" s="18">
        <v>182</v>
      </c>
      <c r="L38" s="13">
        <v>265.05</v>
      </c>
      <c r="M38" s="13">
        <v>48239.1</v>
      </c>
      <c r="N38" s="18">
        <v>18</v>
      </c>
      <c r="O38" s="21">
        <v>3</v>
      </c>
      <c r="P38" s="27" t="str">
        <f>IF(AND(Late_Orders[[#This Row],[Order_Status]]="Late", Late_Orders[[#This Row],[Shipment_Delay]]&gt;=5),"Yes","No")</f>
        <v>No</v>
      </c>
    </row>
    <row r="39" spans="1:16" x14ac:dyDescent="0.25">
      <c r="A39" s="12" t="s">
        <v>146</v>
      </c>
      <c r="B39" s="13" t="s">
        <v>53</v>
      </c>
      <c r="C39" s="13" t="s">
        <v>25</v>
      </c>
      <c r="D39" s="13" t="s">
        <v>39</v>
      </c>
      <c r="E39" s="13" t="s">
        <v>57</v>
      </c>
      <c r="F39" s="23">
        <v>45736</v>
      </c>
      <c r="G39" s="23">
        <v>45745</v>
      </c>
      <c r="H39" s="23">
        <v>45747</v>
      </c>
      <c r="I39" s="23">
        <v>45749</v>
      </c>
      <c r="J39" s="13" t="s">
        <v>27</v>
      </c>
      <c r="K39" s="18">
        <v>154</v>
      </c>
      <c r="L39" s="13">
        <v>134.5</v>
      </c>
      <c r="M39" s="13">
        <v>20713</v>
      </c>
      <c r="N39" s="18">
        <v>11</v>
      </c>
      <c r="O39" s="21">
        <v>2</v>
      </c>
      <c r="P39" s="27" t="str">
        <f>IF(AND(Late_Orders[[#This Row],[Order_Status]]="Late", Late_Orders[[#This Row],[Shipment_Delay]]&gt;=5),"Yes","No")</f>
        <v>No</v>
      </c>
    </row>
    <row r="40" spans="1:16" x14ac:dyDescent="0.25">
      <c r="A40" s="12" t="s">
        <v>147</v>
      </c>
      <c r="B40" s="13" t="s">
        <v>42</v>
      </c>
      <c r="C40" s="13" t="s">
        <v>30</v>
      </c>
      <c r="D40" s="13" t="s">
        <v>59</v>
      </c>
      <c r="E40" s="13" t="s">
        <v>63</v>
      </c>
      <c r="F40" s="23">
        <v>45743</v>
      </c>
      <c r="G40" s="23">
        <v>45746</v>
      </c>
      <c r="H40" s="23">
        <v>45751</v>
      </c>
      <c r="I40" s="23">
        <v>45755</v>
      </c>
      <c r="J40" s="13" t="s">
        <v>27</v>
      </c>
      <c r="K40" s="18">
        <v>178</v>
      </c>
      <c r="L40" s="13">
        <v>471.41</v>
      </c>
      <c r="M40" s="13">
        <v>83910.98</v>
      </c>
      <c r="N40" s="18">
        <v>8</v>
      </c>
      <c r="O40" s="21">
        <v>5</v>
      </c>
      <c r="P40" s="27" t="str">
        <f>IF(AND(Late_Orders[[#This Row],[Order_Status]]="Late", Late_Orders[[#This Row],[Shipment_Delay]]&gt;=5),"Yes","No")</f>
        <v>Yes</v>
      </c>
    </row>
    <row r="41" spans="1:16" x14ac:dyDescent="0.25">
      <c r="A41" s="12" t="s">
        <v>148</v>
      </c>
      <c r="B41" s="13" t="s">
        <v>38</v>
      </c>
      <c r="C41" s="13" t="s">
        <v>30</v>
      </c>
      <c r="D41" s="13" t="s">
        <v>35</v>
      </c>
      <c r="E41" s="13" t="s">
        <v>26</v>
      </c>
      <c r="F41" s="23">
        <v>45696</v>
      </c>
      <c r="G41" s="23">
        <v>45709</v>
      </c>
      <c r="H41" s="23">
        <v>45710</v>
      </c>
      <c r="I41" s="23">
        <v>45713</v>
      </c>
      <c r="J41" s="13" t="s">
        <v>27</v>
      </c>
      <c r="K41" s="18">
        <v>82</v>
      </c>
      <c r="L41" s="13">
        <v>181.35</v>
      </c>
      <c r="M41" s="13">
        <v>14870.7</v>
      </c>
      <c r="N41" s="18">
        <v>14</v>
      </c>
      <c r="O41" s="21">
        <v>1</v>
      </c>
      <c r="P41" s="27" t="str">
        <f>IF(AND(Late_Orders[[#This Row],[Order_Status]]="Late", Late_Orders[[#This Row],[Shipment_Delay]]&gt;=5),"Yes","No")</f>
        <v>No</v>
      </c>
    </row>
    <row r="42" spans="1:16" x14ac:dyDescent="0.25">
      <c r="A42" s="12" t="s">
        <v>150</v>
      </c>
      <c r="B42" s="13" t="s">
        <v>56</v>
      </c>
      <c r="C42" s="13" t="s">
        <v>34</v>
      </c>
      <c r="D42" s="13" t="s">
        <v>17</v>
      </c>
      <c r="E42" s="13" t="s">
        <v>57</v>
      </c>
      <c r="F42" s="23">
        <v>45768</v>
      </c>
      <c r="G42" s="23">
        <v>45781</v>
      </c>
      <c r="H42" s="23">
        <v>45786</v>
      </c>
      <c r="I42" s="23">
        <v>45787</v>
      </c>
      <c r="J42" s="13" t="s">
        <v>27</v>
      </c>
      <c r="K42" s="18">
        <v>195</v>
      </c>
      <c r="L42" s="13">
        <v>429.77</v>
      </c>
      <c r="M42" s="13">
        <v>83805.149999999994</v>
      </c>
      <c r="N42" s="18">
        <v>18</v>
      </c>
      <c r="O42" s="21">
        <v>5</v>
      </c>
      <c r="P42" s="27" t="str">
        <f>IF(AND(Late_Orders[[#This Row],[Order_Status]]="Late", Late_Orders[[#This Row],[Shipment_Delay]]&gt;=5),"Yes","No")</f>
        <v>Yes</v>
      </c>
    </row>
    <row r="43" spans="1:16" x14ac:dyDescent="0.25">
      <c r="A43" s="12" t="s">
        <v>153</v>
      </c>
      <c r="B43" s="13" t="s">
        <v>56</v>
      </c>
      <c r="C43" s="13" t="s">
        <v>30</v>
      </c>
      <c r="D43" s="13" t="s">
        <v>59</v>
      </c>
      <c r="E43" s="13" t="s">
        <v>40</v>
      </c>
      <c r="F43" s="23">
        <v>45674</v>
      </c>
      <c r="G43" s="23">
        <v>45689</v>
      </c>
      <c r="H43" s="23">
        <v>45691</v>
      </c>
      <c r="I43" s="23">
        <v>45694</v>
      </c>
      <c r="J43" s="13" t="s">
        <v>27</v>
      </c>
      <c r="K43" s="18">
        <v>74</v>
      </c>
      <c r="L43" s="13">
        <v>708.44</v>
      </c>
      <c r="M43" s="13">
        <v>52424.56</v>
      </c>
      <c r="N43" s="18">
        <v>17</v>
      </c>
      <c r="O43" s="21">
        <v>2</v>
      </c>
      <c r="P43" s="27" t="str">
        <f>IF(AND(Late_Orders[[#This Row],[Order_Status]]="Late", Late_Orders[[#This Row],[Shipment_Delay]]&gt;=5),"Yes","No")</f>
        <v>No</v>
      </c>
    </row>
    <row r="44" spans="1:16" x14ac:dyDescent="0.25">
      <c r="A44" s="12" t="s">
        <v>154</v>
      </c>
      <c r="B44" s="13" t="s">
        <v>45</v>
      </c>
      <c r="C44" s="13" t="s">
        <v>21</v>
      </c>
      <c r="D44" s="13" t="s">
        <v>17</v>
      </c>
      <c r="E44" s="13" t="s">
        <v>57</v>
      </c>
      <c r="F44" s="23">
        <v>45769</v>
      </c>
      <c r="G44" s="23">
        <v>45777</v>
      </c>
      <c r="H44" s="23">
        <v>45782</v>
      </c>
      <c r="I44" s="23">
        <v>45783</v>
      </c>
      <c r="J44" s="13" t="s">
        <v>27</v>
      </c>
      <c r="K44" s="18">
        <v>24</v>
      </c>
      <c r="L44" s="13">
        <v>132.53</v>
      </c>
      <c r="M44" s="13">
        <v>3180.72</v>
      </c>
      <c r="N44" s="18">
        <v>13</v>
      </c>
      <c r="O44" s="21">
        <v>5</v>
      </c>
      <c r="P44" s="27" t="str">
        <f>IF(AND(Late_Orders[[#This Row],[Order_Status]]="Late", Late_Orders[[#This Row],[Shipment_Delay]]&gt;=5),"Yes","No")</f>
        <v>Yes</v>
      </c>
    </row>
    <row r="45" spans="1:16" x14ac:dyDescent="0.25">
      <c r="A45" s="12" t="s">
        <v>155</v>
      </c>
      <c r="B45" s="13" t="s">
        <v>56</v>
      </c>
      <c r="C45" s="13" t="s">
        <v>21</v>
      </c>
      <c r="D45" s="13" t="s">
        <v>59</v>
      </c>
      <c r="E45" s="13" t="s">
        <v>31</v>
      </c>
      <c r="F45" s="23">
        <v>45669</v>
      </c>
      <c r="G45" s="23">
        <v>45684</v>
      </c>
      <c r="H45" s="23">
        <v>45685</v>
      </c>
      <c r="I45" s="23">
        <v>45686</v>
      </c>
      <c r="J45" s="13" t="s">
        <v>27</v>
      </c>
      <c r="K45" s="18">
        <v>36</v>
      </c>
      <c r="L45" s="13">
        <v>394.75</v>
      </c>
      <c r="M45" s="13">
        <v>14211</v>
      </c>
      <c r="N45" s="18">
        <v>16</v>
      </c>
      <c r="O45" s="21">
        <v>1</v>
      </c>
      <c r="P45" s="27" t="str">
        <f>IF(AND(Late_Orders[[#This Row],[Order_Status]]="Late", Late_Orders[[#This Row],[Shipment_Delay]]&gt;=5),"Yes","No")</f>
        <v>No</v>
      </c>
    </row>
    <row r="46" spans="1:16" x14ac:dyDescent="0.25">
      <c r="A46" s="12" t="s">
        <v>156</v>
      </c>
      <c r="B46" s="13" t="s">
        <v>48</v>
      </c>
      <c r="C46" s="13" t="s">
        <v>34</v>
      </c>
      <c r="D46" s="13" t="s">
        <v>35</v>
      </c>
      <c r="E46" s="13" t="s">
        <v>40</v>
      </c>
      <c r="F46" s="23">
        <v>45744</v>
      </c>
      <c r="G46" s="23">
        <v>45750</v>
      </c>
      <c r="H46" s="23">
        <v>45751</v>
      </c>
      <c r="I46" s="23">
        <v>45752</v>
      </c>
      <c r="J46" s="13" t="s">
        <v>27</v>
      </c>
      <c r="K46" s="18">
        <v>148</v>
      </c>
      <c r="L46" s="13">
        <v>288.89</v>
      </c>
      <c r="M46" s="13">
        <v>42755.72</v>
      </c>
      <c r="N46" s="18">
        <v>7</v>
      </c>
      <c r="O46" s="21">
        <v>1</v>
      </c>
      <c r="P46" s="27" t="str">
        <f>IF(AND(Late_Orders[[#This Row],[Order_Status]]="Late", Late_Orders[[#This Row],[Shipment_Delay]]&gt;=5),"Yes","No")</f>
        <v>No</v>
      </c>
    </row>
    <row r="47" spans="1:16" x14ac:dyDescent="0.25">
      <c r="A47" s="12" t="s">
        <v>157</v>
      </c>
      <c r="B47" s="13" t="s">
        <v>29</v>
      </c>
      <c r="C47" s="13" t="s">
        <v>25</v>
      </c>
      <c r="D47" s="13" t="s">
        <v>39</v>
      </c>
      <c r="E47" s="13" t="s">
        <v>31</v>
      </c>
      <c r="F47" s="23">
        <v>45763</v>
      </c>
      <c r="G47" s="23">
        <v>45773</v>
      </c>
      <c r="H47" s="23">
        <v>45776</v>
      </c>
      <c r="I47" s="23">
        <v>45779</v>
      </c>
      <c r="J47" s="13" t="s">
        <v>27</v>
      </c>
      <c r="K47" s="18">
        <v>34</v>
      </c>
      <c r="L47" s="13">
        <v>131.71</v>
      </c>
      <c r="M47" s="13">
        <v>4478.1400000000003</v>
      </c>
      <c r="N47" s="18">
        <v>13</v>
      </c>
      <c r="O47" s="21">
        <v>3</v>
      </c>
      <c r="P47" s="27" t="str">
        <f>IF(AND(Late_Orders[[#This Row],[Order_Status]]="Late", Late_Orders[[#This Row],[Shipment_Delay]]&gt;=5),"Yes","No")</f>
        <v>No</v>
      </c>
    </row>
    <row r="48" spans="1:16" x14ac:dyDescent="0.25">
      <c r="A48" s="12" t="s">
        <v>158</v>
      </c>
      <c r="B48" s="13" t="s">
        <v>15</v>
      </c>
      <c r="C48" s="13" t="s">
        <v>21</v>
      </c>
      <c r="D48" s="13" t="s">
        <v>17</v>
      </c>
      <c r="E48" s="13" t="s">
        <v>40</v>
      </c>
      <c r="F48" s="23">
        <v>45670</v>
      </c>
      <c r="G48" s="23">
        <v>45676</v>
      </c>
      <c r="H48" s="23">
        <v>45678</v>
      </c>
      <c r="I48" s="23">
        <v>45680</v>
      </c>
      <c r="J48" s="13" t="s">
        <v>27</v>
      </c>
      <c r="K48" s="18">
        <v>99</v>
      </c>
      <c r="L48" s="13">
        <v>574.86</v>
      </c>
      <c r="M48" s="13">
        <v>56911.14</v>
      </c>
      <c r="N48" s="18">
        <v>8</v>
      </c>
      <c r="O48" s="21">
        <v>2</v>
      </c>
      <c r="P48" s="27" t="str">
        <f>IF(AND(Late_Orders[[#This Row],[Order_Status]]="Late", Late_Orders[[#This Row],[Shipment_Delay]]&gt;=5),"Yes","No")</f>
        <v>No</v>
      </c>
    </row>
    <row r="49" spans="1:16" x14ac:dyDescent="0.25">
      <c r="A49" s="12" t="s">
        <v>159</v>
      </c>
      <c r="B49" s="13" t="s">
        <v>56</v>
      </c>
      <c r="C49" s="13" t="s">
        <v>51</v>
      </c>
      <c r="D49" s="13" t="s">
        <v>59</v>
      </c>
      <c r="E49" s="13" t="s">
        <v>26</v>
      </c>
      <c r="F49" s="23">
        <v>45751</v>
      </c>
      <c r="G49" s="23">
        <v>45756</v>
      </c>
      <c r="H49" s="23">
        <v>45757</v>
      </c>
      <c r="I49" s="23">
        <v>45758</v>
      </c>
      <c r="J49" s="13" t="s">
        <v>27</v>
      </c>
      <c r="K49" s="18">
        <v>162</v>
      </c>
      <c r="L49" s="13">
        <v>355.78</v>
      </c>
      <c r="M49" s="13">
        <v>57636.36</v>
      </c>
      <c r="N49" s="18">
        <v>6</v>
      </c>
      <c r="O49" s="21">
        <v>1</v>
      </c>
      <c r="P49" s="27" t="str">
        <f>IF(AND(Late_Orders[[#This Row],[Order_Status]]="Late", Late_Orders[[#This Row],[Shipment_Delay]]&gt;=5),"Yes","No")</f>
        <v>No</v>
      </c>
    </row>
    <row r="50" spans="1:16" x14ac:dyDescent="0.25">
      <c r="A50" s="12" t="s">
        <v>162</v>
      </c>
      <c r="B50" s="13" t="s">
        <v>48</v>
      </c>
      <c r="C50" s="13" t="s">
        <v>34</v>
      </c>
      <c r="D50" s="13" t="s">
        <v>22</v>
      </c>
      <c r="E50" s="13" t="s">
        <v>57</v>
      </c>
      <c r="F50" s="23">
        <v>45689</v>
      </c>
      <c r="G50" s="23">
        <v>45694</v>
      </c>
      <c r="H50" s="23">
        <v>45699</v>
      </c>
      <c r="I50" s="23">
        <v>45704</v>
      </c>
      <c r="J50" s="13" t="s">
        <v>27</v>
      </c>
      <c r="K50" s="18">
        <v>200</v>
      </c>
      <c r="L50" s="13">
        <v>477.76</v>
      </c>
      <c r="M50" s="13">
        <v>95552</v>
      </c>
      <c r="N50" s="18">
        <v>10</v>
      </c>
      <c r="O50" s="21">
        <v>5</v>
      </c>
      <c r="P50" s="27" t="str">
        <f>IF(AND(Late_Orders[[#This Row],[Order_Status]]="Late", Late_Orders[[#This Row],[Shipment_Delay]]&gt;=5),"Yes","No")</f>
        <v>Yes</v>
      </c>
    </row>
    <row r="51" spans="1:16" x14ac:dyDescent="0.25">
      <c r="A51" s="12" t="s">
        <v>168</v>
      </c>
      <c r="B51" s="13" t="s">
        <v>15</v>
      </c>
      <c r="C51" s="13" t="s">
        <v>25</v>
      </c>
      <c r="D51" s="13" t="s">
        <v>39</v>
      </c>
      <c r="E51" s="13" t="s">
        <v>63</v>
      </c>
      <c r="F51" s="23">
        <v>45737</v>
      </c>
      <c r="G51" s="23">
        <v>45750</v>
      </c>
      <c r="H51" s="23">
        <v>45752</v>
      </c>
      <c r="I51" s="23">
        <v>45757</v>
      </c>
      <c r="J51" s="13" t="s">
        <v>27</v>
      </c>
      <c r="K51" s="18">
        <v>102</v>
      </c>
      <c r="L51" s="13">
        <v>845.51</v>
      </c>
      <c r="M51" s="13">
        <v>86242.02</v>
      </c>
      <c r="N51" s="18">
        <v>15</v>
      </c>
      <c r="O51" s="21">
        <v>2</v>
      </c>
      <c r="P51" s="27" t="str">
        <f>IF(AND(Late_Orders[[#This Row],[Order_Status]]="Late", Late_Orders[[#This Row],[Shipment_Delay]]&gt;=5),"Yes","No")</f>
        <v>No</v>
      </c>
    </row>
    <row r="52" spans="1:16" x14ac:dyDescent="0.25">
      <c r="A52" s="12" t="s">
        <v>170</v>
      </c>
      <c r="B52" s="13" t="s">
        <v>53</v>
      </c>
      <c r="C52" s="13" t="s">
        <v>16</v>
      </c>
      <c r="D52" s="13" t="s">
        <v>35</v>
      </c>
      <c r="E52" s="13" t="s">
        <v>31</v>
      </c>
      <c r="F52" s="23">
        <v>45670</v>
      </c>
      <c r="G52" s="23">
        <v>45678</v>
      </c>
      <c r="H52" s="23">
        <v>45679</v>
      </c>
      <c r="I52" s="23">
        <v>45682</v>
      </c>
      <c r="J52" s="13" t="s">
        <v>27</v>
      </c>
      <c r="K52" s="18">
        <v>100</v>
      </c>
      <c r="L52" s="13">
        <v>811.25</v>
      </c>
      <c r="M52" s="13">
        <v>81125</v>
      </c>
      <c r="N52" s="18">
        <v>9</v>
      </c>
      <c r="O52" s="21">
        <v>1</v>
      </c>
      <c r="P52" s="27" t="str">
        <f>IF(AND(Late_Orders[[#This Row],[Order_Status]]="Late", Late_Orders[[#This Row],[Shipment_Delay]]&gt;=5),"Yes","No")</f>
        <v>No</v>
      </c>
    </row>
    <row r="53" spans="1:16" x14ac:dyDescent="0.25">
      <c r="A53" s="12" t="s">
        <v>172</v>
      </c>
      <c r="B53" s="13" t="s">
        <v>56</v>
      </c>
      <c r="C53" s="13" t="s">
        <v>25</v>
      </c>
      <c r="D53" s="13" t="s">
        <v>59</v>
      </c>
      <c r="E53" s="13" t="s">
        <v>31</v>
      </c>
      <c r="F53" s="23">
        <v>45703</v>
      </c>
      <c r="G53" s="23">
        <v>45716</v>
      </c>
      <c r="H53" s="23">
        <v>45721</v>
      </c>
      <c r="I53" s="23">
        <v>45725</v>
      </c>
      <c r="J53" s="13" t="s">
        <v>27</v>
      </c>
      <c r="K53" s="18">
        <v>189</v>
      </c>
      <c r="L53" s="13">
        <v>57.96</v>
      </c>
      <c r="M53" s="13">
        <v>10954.44</v>
      </c>
      <c r="N53" s="18">
        <v>18</v>
      </c>
      <c r="O53" s="21">
        <v>5</v>
      </c>
      <c r="P53" s="27" t="str">
        <f>IF(AND(Late_Orders[[#This Row],[Order_Status]]="Late", Late_Orders[[#This Row],[Shipment_Delay]]&gt;=5),"Yes","No")</f>
        <v>Yes</v>
      </c>
    </row>
    <row r="54" spans="1:16" x14ac:dyDescent="0.25">
      <c r="A54" s="12" t="s">
        <v>174</v>
      </c>
      <c r="B54" s="13" t="s">
        <v>15</v>
      </c>
      <c r="C54" s="13" t="s">
        <v>51</v>
      </c>
      <c r="D54" s="13" t="s">
        <v>17</v>
      </c>
      <c r="E54" s="13" t="s">
        <v>40</v>
      </c>
      <c r="F54" s="23">
        <v>45731</v>
      </c>
      <c r="G54" s="23">
        <v>45737</v>
      </c>
      <c r="H54" s="23">
        <v>45742</v>
      </c>
      <c r="I54" s="23">
        <v>45746</v>
      </c>
      <c r="J54" s="13" t="s">
        <v>27</v>
      </c>
      <c r="K54" s="18">
        <v>164</v>
      </c>
      <c r="L54" s="13">
        <v>527.33000000000004</v>
      </c>
      <c r="M54" s="13">
        <v>86482.12</v>
      </c>
      <c r="N54" s="18">
        <v>11</v>
      </c>
      <c r="O54" s="21">
        <v>5</v>
      </c>
      <c r="P54" s="27" t="str">
        <f>IF(AND(Late_Orders[[#This Row],[Order_Status]]="Late", Late_Orders[[#This Row],[Shipment_Delay]]&gt;=5),"Yes","No")</f>
        <v>Yes</v>
      </c>
    </row>
    <row r="55" spans="1:16" x14ac:dyDescent="0.25">
      <c r="A55" s="12" t="s">
        <v>178</v>
      </c>
      <c r="B55" s="13" t="s">
        <v>38</v>
      </c>
      <c r="C55" s="13" t="s">
        <v>30</v>
      </c>
      <c r="D55" s="13" t="s">
        <v>17</v>
      </c>
      <c r="E55" s="13" t="s">
        <v>18</v>
      </c>
      <c r="F55" s="23">
        <v>45678</v>
      </c>
      <c r="G55" s="23">
        <v>45693</v>
      </c>
      <c r="H55" s="23">
        <v>45695</v>
      </c>
      <c r="I55" s="23">
        <v>45696</v>
      </c>
      <c r="J55" s="13" t="s">
        <v>27</v>
      </c>
      <c r="K55" s="18">
        <v>74</v>
      </c>
      <c r="L55" s="13">
        <v>385</v>
      </c>
      <c r="M55" s="13">
        <v>28490</v>
      </c>
      <c r="N55" s="18">
        <v>17</v>
      </c>
      <c r="O55" s="21">
        <v>2</v>
      </c>
      <c r="P55" s="27" t="str">
        <f>IF(AND(Late_Orders[[#This Row],[Order_Status]]="Late", Late_Orders[[#This Row],[Shipment_Delay]]&gt;=5),"Yes","No")</f>
        <v>No</v>
      </c>
    </row>
    <row r="56" spans="1:16" x14ac:dyDescent="0.25">
      <c r="A56" s="12" t="s">
        <v>185</v>
      </c>
      <c r="B56" s="13" t="s">
        <v>24</v>
      </c>
      <c r="C56" s="13" t="s">
        <v>46</v>
      </c>
      <c r="D56" s="13" t="s">
        <v>22</v>
      </c>
      <c r="E56" s="13" t="s">
        <v>26</v>
      </c>
      <c r="F56" s="23">
        <v>45667</v>
      </c>
      <c r="G56" s="23">
        <v>45678</v>
      </c>
      <c r="H56" s="23">
        <v>45681</v>
      </c>
      <c r="I56" s="23">
        <v>45682</v>
      </c>
      <c r="J56" s="13" t="s">
        <v>27</v>
      </c>
      <c r="K56" s="18">
        <v>54</v>
      </c>
      <c r="L56" s="13">
        <v>771.45</v>
      </c>
      <c r="M56" s="13">
        <v>41658.300000000003</v>
      </c>
      <c r="N56" s="18">
        <v>14</v>
      </c>
      <c r="O56" s="21">
        <v>3</v>
      </c>
      <c r="P56" s="27" t="str">
        <f>IF(AND(Late_Orders[[#This Row],[Order_Status]]="Late", Late_Orders[[#This Row],[Shipment_Delay]]&gt;=5),"Yes","No")</f>
        <v>No</v>
      </c>
    </row>
    <row r="57" spans="1:16" x14ac:dyDescent="0.25">
      <c r="A57" s="12" t="s">
        <v>187</v>
      </c>
      <c r="B57" s="13" t="s">
        <v>48</v>
      </c>
      <c r="C57" s="13" t="s">
        <v>46</v>
      </c>
      <c r="D57" s="13" t="s">
        <v>59</v>
      </c>
      <c r="E57" s="13" t="s">
        <v>26</v>
      </c>
      <c r="F57" s="23">
        <v>45754</v>
      </c>
      <c r="G57" s="23">
        <v>45766</v>
      </c>
      <c r="H57" s="23">
        <v>45771</v>
      </c>
      <c r="I57" s="23">
        <v>45776</v>
      </c>
      <c r="J57" s="13" t="s">
        <v>27</v>
      </c>
      <c r="K57" s="18">
        <v>149</v>
      </c>
      <c r="L57" s="13">
        <v>551.9</v>
      </c>
      <c r="M57" s="13">
        <v>82233.100000000006</v>
      </c>
      <c r="N57" s="18">
        <v>17</v>
      </c>
      <c r="O57" s="21">
        <v>5</v>
      </c>
      <c r="P57" s="27" t="str">
        <f>IF(AND(Late_Orders[[#This Row],[Order_Status]]="Late", Late_Orders[[#This Row],[Shipment_Delay]]&gt;=5),"Yes","No")</f>
        <v>Yes</v>
      </c>
    </row>
    <row r="58" spans="1:16" x14ac:dyDescent="0.25">
      <c r="A58" s="12" t="s">
        <v>188</v>
      </c>
      <c r="B58" s="13" t="s">
        <v>24</v>
      </c>
      <c r="C58" s="13" t="s">
        <v>16</v>
      </c>
      <c r="D58" s="13" t="s">
        <v>59</v>
      </c>
      <c r="E58" s="13" t="s">
        <v>18</v>
      </c>
      <c r="F58" s="23">
        <v>45714</v>
      </c>
      <c r="G58" s="23">
        <v>45718</v>
      </c>
      <c r="H58" s="23">
        <v>45719</v>
      </c>
      <c r="I58" s="23">
        <v>45723</v>
      </c>
      <c r="J58" s="13" t="s">
        <v>27</v>
      </c>
      <c r="K58" s="18">
        <v>75</v>
      </c>
      <c r="L58" s="13">
        <v>508.84</v>
      </c>
      <c r="M58" s="13">
        <v>38163</v>
      </c>
      <c r="N58" s="18">
        <v>5</v>
      </c>
      <c r="O58" s="21">
        <v>1</v>
      </c>
      <c r="P58" s="27" t="str">
        <f>IF(AND(Late_Orders[[#This Row],[Order_Status]]="Late", Late_Orders[[#This Row],[Shipment_Delay]]&gt;=5),"Yes","No")</f>
        <v>No</v>
      </c>
    </row>
    <row r="59" spans="1:16" x14ac:dyDescent="0.25">
      <c r="A59" s="12" t="s">
        <v>190</v>
      </c>
      <c r="B59" s="13" t="s">
        <v>24</v>
      </c>
      <c r="C59" s="13" t="s">
        <v>30</v>
      </c>
      <c r="D59" s="13" t="s">
        <v>17</v>
      </c>
      <c r="E59" s="13" t="s">
        <v>26</v>
      </c>
      <c r="F59" s="23">
        <v>45728</v>
      </c>
      <c r="G59" s="23">
        <v>45743</v>
      </c>
      <c r="H59" s="23">
        <v>45746</v>
      </c>
      <c r="I59" s="23">
        <v>45747</v>
      </c>
      <c r="J59" s="13" t="s">
        <v>27</v>
      </c>
      <c r="K59" s="18">
        <v>151</v>
      </c>
      <c r="L59" s="13">
        <v>559.28</v>
      </c>
      <c r="M59" s="13">
        <v>84451.28</v>
      </c>
      <c r="N59" s="18">
        <v>18</v>
      </c>
      <c r="O59" s="21">
        <v>3</v>
      </c>
      <c r="P59" s="27" t="str">
        <f>IF(AND(Late_Orders[[#This Row],[Order_Status]]="Late", Late_Orders[[#This Row],[Shipment_Delay]]&gt;=5),"Yes","No")</f>
        <v>No</v>
      </c>
    </row>
    <row r="60" spans="1:16" x14ac:dyDescent="0.25">
      <c r="A60" s="12" t="s">
        <v>193</v>
      </c>
      <c r="B60" s="13" t="s">
        <v>48</v>
      </c>
      <c r="C60" s="13" t="s">
        <v>43</v>
      </c>
      <c r="D60" s="13" t="s">
        <v>59</v>
      </c>
      <c r="E60" s="13" t="s">
        <v>31</v>
      </c>
      <c r="F60" s="23">
        <v>45670</v>
      </c>
      <c r="G60" s="23">
        <v>45681</v>
      </c>
      <c r="H60" s="23">
        <v>45684</v>
      </c>
      <c r="I60" s="23">
        <v>45688</v>
      </c>
      <c r="J60" s="13" t="s">
        <v>27</v>
      </c>
      <c r="K60" s="18">
        <v>190</v>
      </c>
      <c r="L60" s="13">
        <v>726.06</v>
      </c>
      <c r="M60" s="13">
        <v>137951.4</v>
      </c>
      <c r="N60" s="18">
        <v>14</v>
      </c>
      <c r="O60" s="21">
        <v>3</v>
      </c>
      <c r="P60" s="27" t="str">
        <f>IF(AND(Late_Orders[[#This Row],[Order_Status]]="Late", Late_Orders[[#This Row],[Shipment_Delay]]&gt;=5),"Yes","No")</f>
        <v>No</v>
      </c>
    </row>
    <row r="61" spans="1:16" x14ac:dyDescent="0.25">
      <c r="A61" s="12" t="s">
        <v>195</v>
      </c>
      <c r="B61" s="13" t="s">
        <v>15</v>
      </c>
      <c r="C61" s="13" t="s">
        <v>16</v>
      </c>
      <c r="D61" s="13" t="s">
        <v>39</v>
      </c>
      <c r="E61" s="13" t="s">
        <v>63</v>
      </c>
      <c r="F61" s="23">
        <v>45706</v>
      </c>
      <c r="G61" s="23">
        <v>45719</v>
      </c>
      <c r="H61" s="23">
        <v>45724</v>
      </c>
      <c r="I61" s="23">
        <v>45727</v>
      </c>
      <c r="J61" s="13" t="s">
        <v>27</v>
      </c>
      <c r="K61" s="18">
        <v>176</v>
      </c>
      <c r="L61" s="13">
        <v>601.86</v>
      </c>
      <c r="M61" s="13">
        <v>105927.36</v>
      </c>
      <c r="N61" s="18">
        <v>18</v>
      </c>
      <c r="O61" s="21">
        <v>5</v>
      </c>
      <c r="P61" s="27" t="str">
        <f>IF(AND(Late_Orders[[#This Row],[Order_Status]]="Late", Late_Orders[[#This Row],[Shipment_Delay]]&gt;=5),"Yes","No")</f>
        <v>Yes</v>
      </c>
    </row>
    <row r="62" spans="1:16" x14ac:dyDescent="0.25">
      <c r="A62" s="12" t="s">
        <v>198</v>
      </c>
      <c r="B62" s="13" t="s">
        <v>29</v>
      </c>
      <c r="C62" s="13" t="s">
        <v>21</v>
      </c>
      <c r="D62" s="13" t="s">
        <v>59</v>
      </c>
      <c r="E62" s="13" t="s">
        <v>40</v>
      </c>
      <c r="F62" s="23">
        <v>45764</v>
      </c>
      <c r="G62" s="23">
        <v>45778</v>
      </c>
      <c r="H62" s="23">
        <v>45783</v>
      </c>
      <c r="I62" s="23">
        <v>45788</v>
      </c>
      <c r="J62" s="13" t="s">
        <v>27</v>
      </c>
      <c r="K62" s="18">
        <v>47</v>
      </c>
      <c r="L62" s="13">
        <v>617.19000000000005</v>
      </c>
      <c r="M62" s="13">
        <v>29007.93</v>
      </c>
      <c r="N62" s="18">
        <v>19</v>
      </c>
      <c r="O62" s="21">
        <v>5</v>
      </c>
      <c r="P62" s="27" t="str">
        <f>IF(AND(Late_Orders[[#This Row],[Order_Status]]="Late", Late_Orders[[#This Row],[Shipment_Delay]]&gt;=5),"Yes","No")</f>
        <v>Yes</v>
      </c>
    </row>
    <row r="63" spans="1:16" x14ac:dyDescent="0.25">
      <c r="A63" s="12" t="s">
        <v>199</v>
      </c>
      <c r="B63" s="13" t="s">
        <v>45</v>
      </c>
      <c r="C63" s="13" t="s">
        <v>34</v>
      </c>
      <c r="D63" s="13" t="s">
        <v>59</v>
      </c>
      <c r="E63" s="13" t="s">
        <v>18</v>
      </c>
      <c r="F63" s="23">
        <v>45750</v>
      </c>
      <c r="G63" s="23">
        <v>45756</v>
      </c>
      <c r="H63" s="23">
        <v>45757</v>
      </c>
      <c r="I63" s="23">
        <v>45762</v>
      </c>
      <c r="J63" s="13" t="s">
        <v>27</v>
      </c>
      <c r="K63" s="18">
        <v>196</v>
      </c>
      <c r="L63" s="13">
        <v>669.47</v>
      </c>
      <c r="M63" s="13">
        <v>131216.12</v>
      </c>
      <c r="N63" s="18">
        <v>7</v>
      </c>
      <c r="O63" s="21">
        <v>1</v>
      </c>
      <c r="P63" s="27" t="str">
        <f>IF(AND(Late_Orders[[#This Row],[Order_Status]]="Late", Late_Orders[[#This Row],[Shipment_Delay]]&gt;=5),"Yes","No")</f>
        <v>No</v>
      </c>
    </row>
    <row r="64" spans="1:16" x14ac:dyDescent="0.25">
      <c r="A64" s="12" t="s">
        <v>203</v>
      </c>
      <c r="B64" s="13" t="s">
        <v>24</v>
      </c>
      <c r="C64" s="13" t="s">
        <v>34</v>
      </c>
      <c r="D64" s="13" t="s">
        <v>35</v>
      </c>
      <c r="E64" s="13" t="s">
        <v>57</v>
      </c>
      <c r="F64" s="23">
        <v>45711</v>
      </c>
      <c r="G64" s="23">
        <v>45714</v>
      </c>
      <c r="H64" s="23">
        <v>45715</v>
      </c>
      <c r="I64" s="23">
        <v>45720</v>
      </c>
      <c r="J64" s="13" t="s">
        <v>27</v>
      </c>
      <c r="K64" s="18">
        <v>103</v>
      </c>
      <c r="L64" s="13">
        <v>845.43</v>
      </c>
      <c r="M64" s="13">
        <v>87079.29</v>
      </c>
      <c r="N64" s="18">
        <v>4</v>
      </c>
      <c r="O64" s="21">
        <v>1</v>
      </c>
      <c r="P64" s="27" t="str">
        <f>IF(AND(Late_Orders[[#This Row],[Order_Status]]="Late", Late_Orders[[#This Row],[Shipment_Delay]]&gt;=5),"Yes","No")</f>
        <v>No</v>
      </c>
    </row>
    <row r="65" spans="1:16" x14ac:dyDescent="0.25">
      <c r="A65" s="12" t="s">
        <v>204</v>
      </c>
      <c r="B65" s="13" t="s">
        <v>53</v>
      </c>
      <c r="C65" s="13" t="s">
        <v>43</v>
      </c>
      <c r="D65" s="13" t="s">
        <v>39</v>
      </c>
      <c r="E65" s="13" t="s">
        <v>18</v>
      </c>
      <c r="F65" s="23">
        <v>45777</v>
      </c>
      <c r="G65" s="23">
        <v>45781</v>
      </c>
      <c r="H65" s="23">
        <v>45786</v>
      </c>
      <c r="I65" s="23">
        <v>45789</v>
      </c>
      <c r="J65" s="13" t="s">
        <v>27</v>
      </c>
      <c r="K65" s="18">
        <v>40</v>
      </c>
      <c r="L65" s="13">
        <v>46.98</v>
      </c>
      <c r="M65" s="13">
        <v>1879.2</v>
      </c>
      <c r="N65" s="18">
        <v>9</v>
      </c>
      <c r="O65" s="21">
        <v>5</v>
      </c>
      <c r="P65" s="27" t="str">
        <f>IF(AND(Late_Orders[[#This Row],[Order_Status]]="Late", Late_Orders[[#This Row],[Shipment_Delay]]&gt;=5),"Yes","No")</f>
        <v>Yes</v>
      </c>
    </row>
    <row r="66" spans="1:16" x14ac:dyDescent="0.25">
      <c r="A66" s="12" t="s">
        <v>207</v>
      </c>
      <c r="B66" s="13" t="s">
        <v>29</v>
      </c>
      <c r="C66" s="13" t="s">
        <v>46</v>
      </c>
      <c r="D66" s="13" t="s">
        <v>22</v>
      </c>
      <c r="E66" s="13" t="s">
        <v>63</v>
      </c>
      <c r="F66" s="23">
        <v>45660</v>
      </c>
      <c r="G66" s="23">
        <v>45673</v>
      </c>
      <c r="H66" s="23">
        <v>45675</v>
      </c>
      <c r="I66" s="23">
        <v>45680</v>
      </c>
      <c r="J66" s="13" t="s">
        <v>27</v>
      </c>
      <c r="K66" s="18">
        <v>41</v>
      </c>
      <c r="L66" s="13">
        <v>258.20999999999998</v>
      </c>
      <c r="M66" s="13">
        <v>10586.61</v>
      </c>
      <c r="N66" s="18">
        <v>15</v>
      </c>
      <c r="O66" s="21">
        <v>2</v>
      </c>
      <c r="P66" s="27" t="str">
        <f>IF(AND(Late_Orders[[#This Row],[Order_Status]]="Late", Late_Orders[[#This Row],[Shipment_Delay]]&gt;=5),"Yes","No")</f>
        <v>No</v>
      </c>
    </row>
    <row r="67" spans="1:16" x14ac:dyDescent="0.25">
      <c r="A67" s="12" t="s">
        <v>208</v>
      </c>
      <c r="B67" s="13" t="s">
        <v>15</v>
      </c>
      <c r="C67" s="13" t="s">
        <v>51</v>
      </c>
      <c r="D67" s="13" t="s">
        <v>39</v>
      </c>
      <c r="E67" s="13" t="s">
        <v>18</v>
      </c>
      <c r="F67" s="23">
        <v>45711</v>
      </c>
      <c r="G67" s="23">
        <v>45716</v>
      </c>
      <c r="H67" s="23">
        <v>45719</v>
      </c>
      <c r="I67" s="23">
        <v>45720</v>
      </c>
      <c r="J67" s="13" t="s">
        <v>27</v>
      </c>
      <c r="K67" s="18">
        <v>97</v>
      </c>
      <c r="L67" s="13">
        <v>71.510000000000005</v>
      </c>
      <c r="M67" s="13">
        <v>6936.47</v>
      </c>
      <c r="N67" s="18">
        <v>8</v>
      </c>
      <c r="O67" s="21">
        <v>3</v>
      </c>
      <c r="P67" s="27" t="str">
        <f>IF(AND(Late_Orders[[#This Row],[Order_Status]]="Late", Late_Orders[[#This Row],[Shipment_Delay]]&gt;=5),"Yes","No")</f>
        <v>No</v>
      </c>
    </row>
    <row r="68" spans="1:16" x14ac:dyDescent="0.25">
      <c r="A68" s="12" t="s">
        <v>209</v>
      </c>
      <c r="B68" s="13" t="s">
        <v>42</v>
      </c>
      <c r="C68" s="13" t="s">
        <v>46</v>
      </c>
      <c r="D68" s="13" t="s">
        <v>22</v>
      </c>
      <c r="E68" s="13" t="s">
        <v>40</v>
      </c>
      <c r="F68" s="23">
        <v>45663</v>
      </c>
      <c r="G68" s="23">
        <v>45676</v>
      </c>
      <c r="H68" s="23">
        <v>45677</v>
      </c>
      <c r="I68" s="23">
        <v>45680</v>
      </c>
      <c r="J68" s="13" t="s">
        <v>27</v>
      </c>
      <c r="K68" s="18">
        <v>9</v>
      </c>
      <c r="L68" s="13">
        <v>313.17</v>
      </c>
      <c r="M68" s="13">
        <v>2818.53</v>
      </c>
      <c r="N68" s="18">
        <v>14</v>
      </c>
      <c r="O68" s="21">
        <v>1</v>
      </c>
      <c r="P68" s="27" t="str">
        <f>IF(AND(Late_Orders[[#This Row],[Order_Status]]="Late", Late_Orders[[#This Row],[Shipment_Delay]]&gt;=5),"Yes","No")</f>
        <v>No</v>
      </c>
    </row>
    <row r="69" spans="1:16" x14ac:dyDescent="0.25">
      <c r="A69" s="12" t="s">
        <v>212</v>
      </c>
      <c r="B69" s="13" t="s">
        <v>45</v>
      </c>
      <c r="C69" s="13" t="s">
        <v>25</v>
      </c>
      <c r="D69" s="13" t="s">
        <v>59</v>
      </c>
      <c r="E69" s="13" t="s">
        <v>31</v>
      </c>
      <c r="F69" s="23">
        <v>45723</v>
      </c>
      <c r="G69" s="23">
        <v>45732</v>
      </c>
      <c r="H69" s="23">
        <v>45737</v>
      </c>
      <c r="I69" s="23">
        <v>45742</v>
      </c>
      <c r="J69" s="13" t="s">
        <v>27</v>
      </c>
      <c r="K69" s="18">
        <v>14</v>
      </c>
      <c r="L69" s="13">
        <v>644</v>
      </c>
      <c r="M69" s="13">
        <v>9016</v>
      </c>
      <c r="N69" s="18">
        <v>14</v>
      </c>
      <c r="O69" s="21">
        <v>5</v>
      </c>
      <c r="P69" s="27" t="str">
        <f>IF(AND(Late_Orders[[#This Row],[Order_Status]]="Late", Late_Orders[[#This Row],[Shipment_Delay]]&gt;=5),"Yes","No")</f>
        <v>Yes</v>
      </c>
    </row>
    <row r="70" spans="1:16" x14ac:dyDescent="0.25">
      <c r="A70" s="12" t="s">
        <v>214</v>
      </c>
      <c r="B70" s="13" t="s">
        <v>42</v>
      </c>
      <c r="C70" s="13" t="s">
        <v>21</v>
      </c>
      <c r="D70" s="13" t="s">
        <v>35</v>
      </c>
      <c r="E70" s="13" t="s">
        <v>18</v>
      </c>
      <c r="F70" s="23">
        <v>45721</v>
      </c>
      <c r="G70" s="23">
        <v>45735</v>
      </c>
      <c r="H70" s="23">
        <v>45736</v>
      </c>
      <c r="I70" s="23">
        <v>45739</v>
      </c>
      <c r="J70" s="13" t="s">
        <v>27</v>
      </c>
      <c r="K70" s="18">
        <v>137</v>
      </c>
      <c r="L70" s="13">
        <v>237.71</v>
      </c>
      <c r="M70" s="13">
        <v>32566.27</v>
      </c>
      <c r="N70" s="18">
        <v>15</v>
      </c>
      <c r="O70" s="21">
        <v>1</v>
      </c>
      <c r="P70" s="27" t="str">
        <f>IF(AND(Late_Orders[[#This Row],[Order_Status]]="Late", Late_Orders[[#This Row],[Shipment_Delay]]&gt;=5),"Yes","No")</f>
        <v>No</v>
      </c>
    </row>
    <row r="71" spans="1:16" x14ac:dyDescent="0.25">
      <c r="A71" s="12" t="s">
        <v>215</v>
      </c>
      <c r="B71" s="13" t="s">
        <v>56</v>
      </c>
      <c r="C71" s="13" t="s">
        <v>25</v>
      </c>
      <c r="D71" s="13" t="s">
        <v>39</v>
      </c>
      <c r="E71" s="13" t="s">
        <v>63</v>
      </c>
      <c r="F71" s="23">
        <v>45735</v>
      </c>
      <c r="G71" s="23">
        <v>45740</v>
      </c>
      <c r="H71" s="23">
        <v>45742</v>
      </c>
      <c r="I71" s="23">
        <v>45745</v>
      </c>
      <c r="J71" s="13" t="s">
        <v>27</v>
      </c>
      <c r="K71" s="18">
        <v>25</v>
      </c>
      <c r="L71" s="13">
        <v>288.81</v>
      </c>
      <c r="M71" s="13">
        <v>7220.25</v>
      </c>
      <c r="N71" s="18">
        <v>7</v>
      </c>
      <c r="O71" s="21">
        <v>2</v>
      </c>
      <c r="P71" s="27" t="str">
        <f>IF(AND(Late_Orders[[#This Row],[Order_Status]]="Late", Late_Orders[[#This Row],[Shipment_Delay]]&gt;=5),"Yes","No")</f>
        <v>No</v>
      </c>
    </row>
    <row r="72" spans="1:16" x14ac:dyDescent="0.25">
      <c r="A72" s="12" t="s">
        <v>221</v>
      </c>
      <c r="B72" s="13" t="s">
        <v>78</v>
      </c>
      <c r="C72" s="13" t="s">
        <v>16</v>
      </c>
      <c r="D72" s="13" t="s">
        <v>39</v>
      </c>
      <c r="E72" s="13" t="s">
        <v>26</v>
      </c>
      <c r="F72" s="23">
        <v>45715</v>
      </c>
      <c r="G72" s="23">
        <v>45721</v>
      </c>
      <c r="H72" s="23">
        <v>45723</v>
      </c>
      <c r="I72" s="23">
        <v>45726</v>
      </c>
      <c r="J72" s="13" t="s">
        <v>27</v>
      </c>
      <c r="K72" s="18">
        <v>130</v>
      </c>
      <c r="L72" s="13">
        <v>182.15</v>
      </c>
      <c r="M72" s="13">
        <v>23679.5</v>
      </c>
      <c r="N72" s="18">
        <v>8</v>
      </c>
      <c r="O72" s="21">
        <v>2</v>
      </c>
      <c r="P72" s="27" t="str">
        <f>IF(AND(Late_Orders[[#This Row],[Order_Status]]="Late", Late_Orders[[#This Row],[Shipment_Delay]]&gt;=5),"Yes","No")</f>
        <v>No</v>
      </c>
    </row>
    <row r="73" spans="1:16" x14ac:dyDescent="0.25">
      <c r="A73" s="12" t="s">
        <v>222</v>
      </c>
      <c r="B73" s="13" t="s">
        <v>42</v>
      </c>
      <c r="C73" s="13" t="s">
        <v>25</v>
      </c>
      <c r="D73" s="13" t="s">
        <v>59</v>
      </c>
      <c r="E73" s="13" t="s">
        <v>26</v>
      </c>
      <c r="F73" s="23">
        <v>45773</v>
      </c>
      <c r="G73" s="23">
        <v>45787</v>
      </c>
      <c r="H73" s="23">
        <v>45788</v>
      </c>
      <c r="I73" s="23">
        <v>45789</v>
      </c>
      <c r="J73" s="13" t="s">
        <v>27</v>
      </c>
      <c r="K73" s="18">
        <v>86</v>
      </c>
      <c r="L73" s="13">
        <v>572.65</v>
      </c>
      <c r="M73" s="13">
        <v>49247.9</v>
      </c>
      <c r="N73" s="18">
        <v>15</v>
      </c>
      <c r="O73" s="21">
        <v>1</v>
      </c>
      <c r="P73" s="27" t="str">
        <f>IF(AND(Late_Orders[[#This Row],[Order_Status]]="Late", Late_Orders[[#This Row],[Shipment_Delay]]&gt;=5),"Yes","No")</f>
        <v>No</v>
      </c>
    </row>
    <row r="74" spans="1:16" x14ac:dyDescent="0.25">
      <c r="A74" s="12" t="s">
        <v>223</v>
      </c>
      <c r="B74" s="13" t="s">
        <v>45</v>
      </c>
      <c r="C74" s="13" t="s">
        <v>43</v>
      </c>
      <c r="D74" s="13" t="s">
        <v>22</v>
      </c>
      <c r="E74" s="13" t="s">
        <v>18</v>
      </c>
      <c r="F74" s="23">
        <v>45749</v>
      </c>
      <c r="G74" s="23">
        <v>45763</v>
      </c>
      <c r="H74" s="23">
        <v>45766</v>
      </c>
      <c r="I74" s="23">
        <v>45768</v>
      </c>
      <c r="J74" s="13" t="s">
        <v>27</v>
      </c>
      <c r="K74" s="18">
        <v>135</v>
      </c>
      <c r="L74" s="13">
        <v>202.24</v>
      </c>
      <c r="M74" s="13">
        <v>27302.400000000001</v>
      </c>
      <c r="N74" s="18">
        <v>17</v>
      </c>
      <c r="O74" s="21">
        <v>3</v>
      </c>
      <c r="P74" s="27" t="str">
        <f>IF(AND(Late_Orders[[#This Row],[Order_Status]]="Late", Late_Orders[[#This Row],[Shipment_Delay]]&gt;=5),"Yes","No")</f>
        <v>No</v>
      </c>
    </row>
    <row r="75" spans="1:16" x14ac:dyDescent="0.25">
      <c r="A75" s="12" t="s">
        <v>224</v>
      </c>
      <c r="B75" s="13" t="s">
        <v>42</v>
      </c>
      <c r="C75" s="13" t="s">
        <v>16</v>
      </c>
      <c r="D75" s="13" t="s">
        <v>59</v>
      </c>
      <c r="E75" s="13" t="s">
        <v>18</v>
      </c>
      <c r="F75" s="23">
        <v>45661</v>
      </c>
      <c r="G75" s="23">
        <v>45669</v>
      </c>
      <c r="H75" s="23">
        <v>45671</v>
      </c>
      <c r="I75" s="23">
        <v>45676</v>
      </c>
      <c r="J75" s="13" t="s">
        <v>27</v>
      </c>
      <c r="K75" s="18">
        <v>146</v>
      </c>
      <c r="L75" s="13">
        <v>123.36</v>
      </c>
      <c r="M75" s="13">
        <v>18010.560000000001</v>
      </c>
      <c r="N75" s="18">
        <v>10</v>
      </c>
      <c r="O75" s="21">
        <v>2</v>
      </c>
      <c r="P75" s="27" t="str">
        <f>IF(AND(Late_Orders[[#This Row],[Order_Status]]="Late", Late_Orders[[#This Row],[Shipment_Delay]]&gt;=5),"Yes","No")</f>
        <v>No</v>
      </c>
    </row>
    <row r="76" spans="1:16" x14ac:dyDescent="0.25">
      <c r="A76" s="12" t="s">
        <v>225</v>
      </c>
      <c r="B76" s="13" t="s">
        <v>42</v>
      </c>
      <c r="C76" s="13" t="s">
        <v>43</v>
      </c>
      <c r="D76" s="13" t="s">
        <v>59</v>
      </c>
      <c r="E76" s="13" t="s">
        <v>40</v>
      </c>
      <c r="F76" s="23">
        <v>45749</v>
      </c>
      <c r="G76" s="23">
        <v>45763</v>
      </c>
      <c r="H76" s="23">
        <v>45764</v>
      </c>
      <c r="I76" s="23">
        <v>45769</v>
      </c>
      <c r="J76" s="13" t="s">
        <v>27</v>
      </c>
      <c r="K76" s="18">
        <v>109</v>
      </c>
      <c r="L76" s="13">
        <v>702.49</v>
      </c>
      <c r="M76" s="13">
        <v>76571.41</v>
      </c>
      <c r="N76" s="18">
        <v>15</v>
      </c>
      <c r="O76" s="21">
        <v>1</v>
      </c>
      <c r="P76" s="27" t="str">
        <f>IF(AND(Late_Orders[[#This Row],[Order_Status]]="Late", Late_Orders[[#This Row],[Shipment_Delay]]&gt;=5),"Yes","No")</f>
        <v>No</v>
      </c>
    </row>
    <row r="77" spans="1:16" x14ac:dyDescent="0.25">
      <c r="A77" s="12" t="s">
        <v>226</v>
      </c>
      <c r="B77" s="13" t="s">
        <v>78</v>
      </c>
      <c r="C77" s="13" t="s">
        <v>43</v>
      </c>
      <c r="D77" s="13" t="s">
        <v>39</v>
      </c>
      <c r="E77" s="13" t="s">
        <v>63</v>
      </c>
      <c r="F77" s="23">
        <v>45667</v>
      </c>
      <c r="G77" s="23">
        <v>45677</v>
      </c>
      <c r="H77" s="23">
        <v>45678</v>
      </c>
      <c r="I77" s="23">
        <v>45683</v>
      </c>
      <c r="J77" s="13" t="s">
        <v>27</v>
      </c>
      <c r="K77" s="18">
        <v>146</v>
      </c>
      <c r="L77" s="13">
        <v>549.23</v>
      </c>
      <c r="M77" s="13">
        <v>80187.58</v>
      </c>
      <c r="N77" s="18">
        <v>11</v>
      </c>
      <c r="O77" s="21">
        <v>1</v>
      </c>
      <c r="P77" s="27" t="str">
        <f>IF(AND(Late_Orders[[#This Row],[Order_Status]]="Late", Late_Orders[[#This Row],[Shipment_Delay]]&gt;=5),"Yes","No")</f>
        <v>No</v>
      </c>
    </row>
    <row r="78" spans="1:16" x14ac:dyDescent="0.25">
      <c r="A78" s="12" t="s">
        <v>227</v>
      </c>
      <c r="B78" s="13" t="s">
        <v>24</v>
      </c>
      <c r="C78" s="13" t="s">
        <v>34</v>
      </c>
      <c r="D78" s="13" t="s">
        <v>59</v>
      </c>
      <c r="E78" s="13" t="s">
        <v>63</v>
      </c>
      <c r="F78" s="23">
        <v>45774</v>
      </c>
      <c r="G78" s="23">
        <v>45777</v>
      </c>
      <c r="H78" s="23">
        <v>45782</v>
      </c>
      <c r="I78" s="23">
        <v>45783</v>
      </c>
      <c r="J78" s="13" t="s">
        <v>27</v>
      </c>
      <c r="K78" s="18">
        <v>82</v>
      </c>
      <c r="L78" s="13">
        <v>152.49</v>
      </c>
      <c r="M78" s="13">
        <v>12504.18</v>
      </c>
      <c r="N78" s="18">
        <v>8</v>
      </c>
      <c r="O78" s="21">
        <v>5</v>
      </c>
      <c r="P78" s="27" t="str">
        <f>IF(AND(Late_Orders[[#This Row],[Order_Status]]="Late", Late_Orders[[#This Row],[Shipment_Delay]]&gt;=5),"Yes","No")</f>
        <v>Yes</v>
      </c>
    </row>
    <row r="79" spans="1:16" x14ac:dyDescent="0.25">
      <c r="A79" s="12" t="s">
        <v>228</v>
      </c>
      <c r="B79" s="13" t="s">
        <v>56</v>
      </c>
      <c r="C79" s="13" t="s">
        <v>43</v>
      </c>
      <c r="D79" s="13" t="s">
        <v>59</v>
      </c>
      <c r="E79" s="13" t="s">
        <v>63</v>
      </c>
      <c r="F79" s="23">
        <v>45772</v>
      </c>
      <c r="G79" s="23">
        <v>45779</v>
      </c>
      <c r="H79" s="23">
        <v>45784</v>
      </c>
      <c r="I79" s="23">
        <v>45785</v>
      </c>
      <c r="J79" s="13" t="s">
        <v>27</v>
      </c>
      <c r="K79" s="18">
        <v>167</v>
      </c>
      <c r="L79" s="13">
        <v>813.55</v>
      </c>
      <c r="M79" s="13">
        <v>135862.85</v>
      </c>
      <c r="N79" s="18">
        <v>12</v>
      </c>
      <c r="O79" s="21">
        <v>5</v>
      </c>
      <c r="P79" s="27" t="str">
        <f>IF(AND(Late_Orders[[#This Row],[Order_Status]]="Late", Late_Orders[[#This Row],[Shipment_Delay]]&gt;=5),"Yes","No")</f>
        <v>Yes</v>
      </c>
    </row>
    <row r="80" spans="1:16" x14ac:dyDescent="0.25">
      <c r="A80" s="12" t="s">
        <v>229</v>
      </c>
      <c r="B80" s="13" t="s">
        <v>48</v>
      </c>
      <c r="C80" s="13" t="s">
        <v>46</v>
      </c>
      <c r="D80" s="13" t="s">
        <v>17</v>
      </c>
      <c r="E80" s="13" t="s">
        <v>31</v>
      </c>
      <c r="F80" s="23">
        <v>45726</v>
      </c>
      <c r="G80" s="23">
        <v>45730</v>
      </c>
      <c r="H80" s="23">
        <v>45732</v>
      </c>
      <c r="I80" s="23">
        <v>45734</v>
      </c>
      <c r="J80" s="13" t="s">
        <v>27</v>
      </c>
      <c r="K80" s="18">
        <v>153</v>
      </c>
      <c r="L80" s="13">
        <v>143.75</v>
      </c>
      <c r="M80" s="13">
        <v>21993.75</v>
      </c>
      <c r="N80" s="18">
        <v>6</v>
      </c>
      <c r="O80" s="21">
        <v>2</v>
      </c>
      <c r="P80" s="27" t="str">
        <f>IF(AND(Late_Orders[[#This Row],[Order_Status]]="Late", Late_Orders[[#This Row],[Shipment_Delay]]&gt;=5),"Yes","No")</f>
        <v>No</v>
      </c>
    </row>
    <row r="81" spans="1:16" x14ac:dyDescent="0.25">
      <c r="A81" s="12" t="s">
        <v>231</v>
      </c>
      <c r="B81" s="13" t="s">
        <v>53</v>
      </c>
      <c r="C81" s="13" t="s">
        <v>16</v>
      </c>
      <c r="D81" s="13" t="s">
        <v>35</v>
      </c>
      <c r="E81" s="13" t="s">
        <v>26</v>
      </c>
      <c r="F81" s="23">
        <v>45740</v>
      </c>
      <c r="G81" s="23">
        <v>45747</v>
      </c>
      <c r="H81" s="23">
        <v>45748</v>
      </c>
      <c r="I81" s="23">
        <v>45750</v>
      </c>
      <c r="J81" s="13" t="s">
        <v>27</v>
      </c>
      <c r="K81" s="18">
        <v>180</v>
      </c>
      <c r="L81" s="13">
        <v>354.09</v>
      </c>
      <c r="M81" s="13">
        <v>63736.2</v>
      </c>
      <c r="N81" s="18">
        <v>8</v>
      </c>
      <c r="O81" s="21">
        <v>1</v>
      </c>
      <c r="P81" s="27" t="str">
        <f>IF(AND(Late_Orders[[#This Row],[Order_Status]]="Late", Late_Orders[[#This Row],[Shipment_Delay]]&gt;=5),"Yes","No")</f>
        <v>No</v>
      </c>
    </row>
    <row r="82" spans="1:16" x14ac:dyDescent="0.25">
      <c r="A82" s="12" t="s">
        <v>232</v>
      </c>
      <c r="B82" s="13" t="s">
        <v>24</v>
      </c>
      <c r="C82" s="13" t="s">
        <v>46</v>
      </c>
      <c r="D82" s="13" t="s">
        <v>39</v>
      </c>
      <c r="E82" s="13" t="s">
        <v>26</v>
      </c>
      <c r="F82" s="23">
        <v>45714</v>
      </c>
      <c r="G82" s="23">
        <v>45723</v>
      </c>
      <c r="H82" s="23">
        <v>45724</v>
      </c>
      <c r="I82" s="23">
        <v>45728</v>
      </c>
      <c r="J82" s="13" t="s">
        <v>27</v>
      </c>
      <c r="K82" s="18">
        <v>160</v>
      </c>
      <c r="L82" s="13">
        <v>134.96</v>
      </c>
      <c r="M82" s="13">
        <v>21593.599999999999</v>
      </c>
      <c r="N82" s="18">
        <v>10</v>
      </c>
      <c r="O82" s="21">
        <v>1</v>
      </c>
      <c r="P82" s="27" t="str">
        <f>IF(AND(Late_Orders[[#This Row],[Order_Status]]="Late", Late_Orders[[#This Row],[Shipment_Delay]]&gt;=5),"Yes","No")</f>
        <v>No</v>
      </c>
    </row>
    <row r="83" spans="1:16" x14ac:dyDescent="0.25">
      <c r="A83" s="12" t="s">
        <v>235</v>
      </c>
      <c r="B83" s="13" t="s">
        <v>38</v>
      </c>
      <c r="C83" s="13" t="s">
        <v>30</v>
      </c>
      <c r="D83" s="13" t="s">
        <v>22</v>
      </c>
      <c r="E83" s="13" t="s">
        <v>26</v>
      </c>
      <c r="F83" s="23">
        <v>45721</v>
      </c>
      <c r="G83" s="23">
        <v>45732</v>
      </c>
      <c r="H83" s="23">
        <v>45733</v>
      </c>
      <c r="I83" s="23">
        <v>45737</v>
      </c>
      <c r="J83" s="13" t="s">
        <v>27</v>
      </c>
      <c r="K83" s="18">
        <v>132</v>
      </c>
      <c r="L83" s="13">
        <v>34.35</v>
      </c>
      <c r="M83" s="13">
        <v>4534.2</v>
      </c>
      <c r="N83" s="18">
        <v>12</v>
      </c>
      <c r="O83" s="21">
        <v>1</v>
      </c>
      <c r="P83" s="27" t="str">
        <f>IF(AND(Late_Orders[[#This Row],[Order_Status]]="Late", Late_Orders[[#This Row],[Shipment_Delay]]&gt;=5),"Yes","No")</f>
        <v>No</v>
      </c>
    </row>
    <row r="84" spans="1:16" x14ac:dyDescent="0.25">
      <c r="A84" s="12" t="s">
        <v>237</v>
      </c>
      <c r="B84" s="13" t="s">
        <v>29</v>
      </c>
      <c r="C84" s="13" t="s">
        <v>34</v>
      </c>
      <c r="D84" s="13" t="s">
        <v>59</v>
      </c>
      <c r="E84" s="13" t="s">
        <v>63</v>
      </c>
      <c r="F84" s="23">
        <v>45675</v>
      </c>
      <c r="G84" s="23">
        <v>45682</v>
      </c>
      <c r="H84" s="23">
        <v>45685</v>
      </c>
      <c r="I84" s="23">
        <v>45688</v>
      </c>
      <c r="J84" s="13" t="s">
        <v>27</v>
      </c>
      <c r="K84" s="18">
        <v>98</v>
      </c>
      <c r="L84" s="13">
        <v>52.78</v>
      </c>
      <c r="M84" s="13">
        <v>5172.4399999999996</v>
      </c>
      <c r="N84" s="18">
        <v>10</v>
      </c>
      <c r="O84" s="21">
        <v>3</v>
      </c>
      <c r="P84" s="27" t="str">
        <f>IF(AND(Late_Orders[[#This Row],[Order_Status]]="Late", Late_Orders[[#This Row],[Shipment_Delay]]&gt;=5),"Yes","No")</f>
        <v>No</v>
      </c>
    </row>
    <row r="85" spans="1:16" x14ac:dyDescent="0.25">
      <c r="A85" s="12" t="s">
        <v>238</v>
      </c>
      <c r="B85" s="13" t="s">
        <v>48</v>
      </c>
      <c r="C85" s="13" t="s">
        <v>16</v>
      </c>
      <c r="D85" s="13" t="s">
        <v>22</v>
      </c>
      <c r="E85" s="13" t="s">
        <v>31</v>
      </c>
      <c r="F85" s="23">
        <v>45694</v>
      </c>
      <c r="G85" s="23">
        <v>45698</v>
      </c>
      <c r="H85" s="23">
        <v>45699</v>
      </c>
      <c r="I85" s="23">
        <v>45704</v>
      </c>
      <c r="J85" s="13" t="s">
        <v>27</v>
      </c>
      <c r="K85" s="18">
        <v>145</v>
      </c>
      <c r="L85" s="13">
        <v>248.57</v>
      </c>
      <c r="M85" s="13">
        <v>36042.65</v>
      </c>
      <c r="N85" s="18">
        <v>5</v>
      </c>
      <c r="O85" s="21">
        <v>1</v>
      </c>
      <c r="P85" s="27" t="str">
        <f>IF(AND(Late_Orders[[#This Row],[Order_Status]]="Late", Late_Orders[[#This Row],[Shipment_Delay]]&gt;=5),"Yes","No")</f>
        <v>No</v>
      </c>
    </row>
    <row r="86" spans="1:16" x14ac:dyDescent="0.25">
      <c r="A86" s="12" t="s">
        <v>239</v>
      </c>
      <c r="B86" s="13" t="s">
        <v>45</v>
      </c>
      <c r="C86" s="13" t="s">
        <v>21</v>
      </c>
      <c r="D86" s="13" t="s">
        <v>17</v>
      </c>
      <c r="E86" s="13" t="s">
        <v>31</v>
      </c>
      <c r="F86" s="23">
        <v>45708</v>
      </c>
      <c r="G86" s="23">
        <v>45716</v>
      </c>
      <c r="H86" s="23">
        <v>45721</v>
      </c>
      <c r="I86" s="23">
        <v>45724</v>
      </c>
      <c r="J86" s="13" t="s">
        <v>27</v>
      </c>
      <c r="K86" s="18">
        <v>98</v>
      </c>
      <c r="L86" s="13">
        <v>645.4</v>
      </c>
      <c r="M86" s="13">
        <v>63249.2</v>
      </c>
      <c r="N86" s="18">
        <v>13</v>
      </c>
      <c r="O86" s="21">
        <v>5</v>
      </c>
      <c r="P86" s="27" t="str">
        <f>IF(AND(Late_Orders[[#This Row],[Order_Status]]="Late", Late_Orders[[#This Row],[Shipment_Delay]]&gt;=5),"Yes","No")</f>
        <v>Yes</v>
      </c>
    </row>
    <row r="87" spans="1:16" x14ac:dyDescent="0.25">
      <c r="A87" s="12" t="s">
        <v>241</v>
      </c>
      <c r="B87" s="13" t="s">
        <v>15</v>
      </c>
      <c r="C87" s="13" t="s">
        <v>30</v>
      </c>
      <c r="D87" s="13" t="s">
        <v>17</v>
      </c>
      <c r="E87" s="13" t="s">
        <v>57</v>
      </c>
      <c r="F87" s="23">
        <v>45698</v>
      </c>
      <c r="G87" s="23">
        <v>45703</v>
      </c>
      <c r="H87" s="23">
        <v>45704</v>
      </c>
      <c r="I87" s="23">
        <v>45709</v>
      </c>
      <c r="J87" s="13" t="s">
        <v>27</v>
      </c>
      <c r="K87" s="18">
        <v>81</v>
      </c>
      <c r="L87" s="13">
        <v>510.76</v>
      </c>
      <c r="M87" s="13">
        <v>41371.56</v>
      </c>
      <c r="N87" s="18">
        <v>6</v>
      </c>
      <c r="O87" s="21">
        <v>1</v>
      </c>
      <c r="P87" s="27" t="str">
        <f>IF(AND(Late_Orders[[#This Row],[Order_Status]]="Late", Late_Orders[[#This Row],[Shipment_Delay]]&gt;=5),"Yes","No")</f>
        <v>No</v>
      </c>
    </row>
    <row r="88" spans="1:16" x14ac:dyDescent="0.25">
      <c r="A88" s="12" t="s">
        <v>243</v>
      </c>
      <c r="B88" s="13" t="s">
        <v>78</v>
      </c>
      <c r="C88" s="13" t="s">
        <v>21</v>
      </c>
      <c r="D88" s="13" t="s">
        <v>22</v>
      </c>
      <c r="E88" s="13" t="s">
        <v>40</v>
      </c>
      <c r="F88" s="23">
        <v>45758</v>
      </c>
      <c r="G88" s="23">
        <v>45773</v>
      </c>
      <c r="H88" s="23">
        <v>45775</v>
      </c>
      <c r="I88" s="23">
        <v>45780</v>
      </c>
      <c r="J88" s="13" t="s">
        <v>27</v>
      </c>
      <c r="K88" s="18">
        <v>18</v>
      </c>
      <c r="L88" s="13">
        <v>502.24</v>
      </c>
      <c r="M88" s="13">
        <v>9040.32</v>
      </c>
      <c r="N88" s="18">
        <v>17</v>
      </c>
      <c r="O88" s="21">
        <v>2</v>
      </c>
      <c r="P88" s="27" t="str">
        <f>IF(AND(Late_Orders[[#This Row],[Order_Status]]="Late", Late_Orders[[#This Row],[Shipment_Delay]]&gt;=5),"Yes","No")</f>
        <v>No</v>
      </c>
    </row>
    <row r="89" spans="1:16" x14ac:dyDescent="0.25">
      <c r="A89" s="12" t="s">
        <v>245</v>
      </c>
      <c r="B89" s="13" t="s">
        <v>78</v>
      </c>
      <c r="C89" s="13" t="s">
        <v>34</v>
      </c>
      <c r="D89" s="13" t="s">
        <v>17</v>
      </c>
      <c r="E89" s="13" t="s">
        <v>57</v>
      </c>
      <c r="F89" s="23">
        <v>45722</v>
      </c>
      <c r="G89" s="23">
        <v>45737</v>
      </c>
      <c r="H89" s="23">
        <v>45739</v>
      </c>
      <c r="I89" s="23">
        <v>45743</v>
      </c>
      <c r="J89" s="13" t="s">
        <v>27</v>
      </c>
      <c r="K89" s="18">
        <v>193</v>
      </c>
      <c r="L89" s="13">
        <v>622.38</v>
      </c>
      <c r="M89" s="13">
        <v>120119.34</v>
      </c>
      <c r="N89" s="18">
        <v>17</v>
      </c>
      <c r="O89" s="21">
        <v>2</v>
      </c>
      <c r="P89" s="27" t="str">
        <f>IF(AND(Late_Orders[[#This Row],[Order_Status]]="Late", Late_Orders[[#This Row],[Shipment_Delay]]&gt;=5),"Yes","No")</f>
        <v>No</v>
      </c>
    </row>
    <row r="90" spans="1:16" x14ac:dyDescent="0.25">
      <c r="A90" s="12" t="s">
        <v>246</v>
      </c>
      <c r="B90" s="13" t="s">
        <v>15</v>
      </c>
      <c r="C90" s="13" t="s">
        <v>46</v>
      </c>
      <c r="D90" s="13" t="s">
        <v>17</v>
      </c>
      <c r="E90" s="13" t="s">
        <v>57</v>
      </c>
      <c r="F90" s="23">
        <v>45742</v>
      </c>
      <c r="G90" s="23">
        <v>45752</v>
      </c>
      <c r="H90" s="23">
        <v>45754</v>
      </c>
      <c r="I90" s="23">
        <v>45758</v>
      </c>
      <c r="J90" s="13" t="s">
        <v>27</v>
      </c>
      <c r="K90" s="18">
        <v>49</v>
      </c>
      <c r="L90" s="13">
        <v>398.82</v>
      </c>
      <c r="M90" s="13">
        <v>19542.18</v>
      </c>
      <c r="N90" s="18">
        <v>12</v>
      </c>
      <c r="O90" s="21">
        <v>2</v>
      </c>
      <c r="P90" s="27" t="str">
        <f>IF(AND(Late_Orders[[#This Row],[Order_Status]]="Late", Late_Orders[[#This Row],[Shipment_Delay]]&gt;=5),"Yes","No")</f>
        <v>No</v>
      </c>
    </row>
    <row r="91" spans="1:16" x14ac:dyDescent="0.25">
      <c r="A91" s="12" t="s">
        <v>247</v>
      </c>
      <c r="B91" s="13" t="s">
        <v>56</v>
      </c>
      <c r="C91" s="13" t="s">
        <v>25</v>
      </c>
      <c r="D91" s="13" t="s">
        <v>22</v>
      </c>
      <c r="E91" s="13" t="s">
        <v>57</v>
      </c>
      <c r="F91" s="23">
        <v>45744</v>
      </c>
      <c r="G91" s="23">
        <v>45759</v>
      </c>
      <c r="H91" s="23">
        <v>45764</v>
      </c>
      <c r="I91" s="23">
        <v>45767</v>
      </c>
      <c r="J91" s="13" t="s">
        <v>27</v>
      </c>
      <c r="K91" s="18">
        <v>54</v>
      </c>
      <c r="L91" s="13">
        <v>814.38</v>
      </c>
      <c r="M91" s="13">
        <v>43976.52</v>
      </c>
      <c r="N91" s="18">
        <v>20</v>
      </c>
      <c r="O91" s="21">
        <v>5</v>
      </c>
      <c r="P91" s="27" t="str">
        <f>IF(AND(Late_Orders[[#This Row],[Order_Status]]="Late", Late_Orders[[#This Row],[Shipment_Delay]]&gt;=5),"Yes","No")</f>
        <v>Yes</v>
      </c>
    </row>
    <row r="92" spans="1:16" x14ac:dyDescent="0.25">
      <c r="A92" s="12" t="s">
        <v>248</v>
      </c>
      <c r="B92" s="13" t="s">
        <v>24</v>
      </c>
      <c r="C92" s="13" t="s">
        <v>25</v>
      </c>
      <c r="D92" s="13" t="s">
        <v>59</v>
      </c>
      <c r="E92" s="13" t="s">
        <v>31</v>
      </c>
      <c r="F92" s="23">
        <v>45756</v>
      </c>
      <c r="G92" s="23">
        <v>45763</v>
      </c>
      <c r="H92" s="23">
        <v>45766</v>
      </c>
      <c r="I92" s="23">
        <v>45768</v>
      </c>
      <c r="J92" s="13" t="s">
        <v>27</v>
      </c>
      <c r="K92" s="18">
        <v>130</v>
      </c>
      <c r="L92" s="13">
        <v>279.73</v>
      </c>
      <c r="M92" s="13">
        <v>36364.9</v>
      </c>
      <c r="N92" s="18">
        <v>10</v>
      </c>
      <c r="O92" s="21">
        <v>3</v>
      </c>
      <c r="P92" s="27" t="str">
        <f>IF(AND(Late_Orders[[#This Row],[Order_Status]]="Late", Late_Orders[[#This Row],[Shipment_Delay]]&gt;=5),"Yes","No")</f>
        <v>No</v>
      </c>
    </row>
    <row r="93" spans="1:16" x14ac:dyDescent="0.25">
      <c r="A93" s="12" t="s">
        <v>249</v>
      </c>
      <c r="B93" s="13" t="s">
        <v>78</v>
      </c>
      <c r="C93" s="13" t="s">
        <v>25</v>
      </c>
      <c r="D93" s="13" t="s">
        <v>35</v>
      </c>
      <c r="E93" s="13" t="s">
        <v>57</v>
      </c>
      <c r="F93" s="23">
        <v>45731</v>
      </c>
      <c r="G93" s="23">
        <v>45744</v>
      </c>
      <c r="H93" s="23">
        <v>45746</v>
      </c>
      <c r="I93" s="23">
        <v>45750</v>
      </c>
      <c r="J93" s="13" t="s">
        <v>27</v>
      </c>
      <c r="K93" s="18">
        <v>106</v>
      </c>
      <c r="L93" s="13">
        <v>698.35</v>
      </c>
      <c r="M93" s="13">
        <v>74025.100000000006</v>
      </c>
      <c r="N93" s="18">
        <v>15</v>
      </c>
      <c r="O93" s="21">
        <v>2</v>
      </c>
      <c r="P93" s="27" t="str">
        <f>IF(AND(Late_Orders[[#This Row],[Order_Status]]="Late", Late_Orders[[#This Row],[Shipment_Delay]]&gt;=5),"Yes","No")</f>
        <v>No</v>
      </c>
    </row>
    <row r="94" spans="1:16" x14ac:dyDescent="0.25">
      <c r="A94" s="12" t="s">
        <v>253</v>
      </c>
      <c r="B94" s="13" t="s">
        <v>29</v>
      </c>
      <c r="C94" s="13" t="s">
        <v>16</v>
      </c>
      <c r="D94" s="13" t="s">
        <v>17</v>
      </c>
      <c r="E94" s="13" t="s">
        <v>26</v>
      </c>
      <c r="F94" s="23">
        <v>45777</v>
      </c>
      <c r="G94" s="23">
        <v>45787</v>
      </c>
      <c r="H94" s="23">
        <v>45788</v>
      </c>
      <c r="I94" s="23">
        <v>45790</v>
      </c>
      <c r="J94" s="13" t="s">
        <v>27</v>
      </c>
      <c r="K94" s="18">
        <v>78</v>
      </c>
      <c r="L94" s="13">
        <v>283.18</v>
      </c>
      <c r="M94" s="13">
        <v>22088.04</v>
      </c>
      <c r="N94" s="18">
        <v>11</v>
      </c>
      <c r="O94" s="21">
        <v>1</v>
      </c>
      <c r="P94" s="27" t="str">
        <f>IF(AND(Late_Orders[[#This Row],[Order_Status]]="Late", Late_Orders[[#This Row],[Shipment_Delay]]&gt;=5),"Yes","No")</f>
        <v>No</v>
      </c>
    </row>
    <row r="95" spans="1:16" x14ac:dyDescent="0.25">
      <c r="A95" s="12" t="s">
        <v>254</v>
      </c>
      <c r="B95" s="13" t="s">
        <v>78</v>
      </c>
      <c r="C95" s="13" t="s">
        <v>51</v>
      </c>
      <c r="D95" s="13" t="s">
        <v>39</v>
      </c>
      <c r="E95" s="13" t="s">
        <v>18</v>
      </c>
      <c r="F95" s="23">
        <v>45726</v>
      </c>
      <c r="G95" s="23">
        <v>45740</v>
      </c>
      <c r="H95" s="23">
        <v>45743</v>
      </c>
      <c r="I95" s="23">
        <v>45744</v>
      </c>
      <c r="J95" s="13" t="s">
        <v>27</v>
      </c>
      <c r="K95" s="18">
        <v>49</v>
      </c>
      <c r="L95" s="13">
        <v>363.93</v>
      </c>
      <c r="M95" s="13">
        <v>17832.57</v>
      </c>
      <c r="N95" s="18">
        <v>17</v>
      </c>
      <c r="O95" s="21">
        <v>3</v>
      </c>
      <c r="P95" s="27" t="str">
        <f>IF(AND(Late_Orders[[#This Row],[Order_Status]]="Late", Late_Orders[[#This Row],[Shipment_Delay]]&gt;=5),"Yes","No")</f>
        <v>No</v>
      </c>
    </row>
    <row r="96" spans="1:16" x14ac:dyDescent="0.25">
      <c r="A96" s="12" t="s">
        <v>255</v>
      </c>
      <c r="B96" s="13" t="s">
        <v>48</v>
      </c>
      <c r="C96" s="13" t="s">
        <v>16</v>
      </c>
      <c r="D96" s="13" t="s">
        <v>59</v>
      </c>
      <c r="E96" s="13" t="s">
        <v>57</v>
      </c>
      <c r="F96" s="23">
        <v>45681</v>
      </c>
      <c r="G96" s="23">
        <v>45695</v>
      </c>
      <c r="H96" s="23">
        <v>45700</v>
      </c>
      <c r="I96" s="23">
        <v>45703</v>
      </c>
      <c r="J96" s="13" t="s">
        <v>27</v>
      </c>
      <c r="K96" s="18">
        <v>7</v>
      </c>
      <c r="L96" s="13">
        <v>264.16000000000003</v>
      </c>
      <c r="M96" s="13">
        <v>1849.12</v>
      </c>
      <c r="N96" s="18">
        <v>19</v>
      </c>
      <c r="O96" s="21">
        <v>5</v>
      </c>
      <c r="P96" s="27" t="str">
        <f>IF(AND(Late_Orders[[#This Row],[Order_Status]]="Late", Late_Orders[[#This Row],[Shipment_Delay]]&gt;=5),"Yes","No")</f>
        <v>Yes</v>
      </c>
    </row>
    <row r="97" spans="1:16" x14ac:dyDescent="0.25">
      <c r="A97" s="12" t="s">
        <v>256</v>
      </c>
      <c r="B97" s="13" t="s">
        <v>53</v>
      </c>
      <c r="C97" s="13" t="s">
        <v>25</v>
      </c>
      <c r="D97" s="13" t="s">
        <v>22</v>
      </c>
      <c r="E97" s="13" t="s">
        <v>31</v>
      </c>
      <c r="F97" s="23">
        <v>45716</v>
      </c>
      <c r="G97" s="23">
        <v>45729</v>
      </c>
      <c r="H97" s="23">
        <v>45731</v>
      </c>
      <c r="I97" s="23">
        <v>45736</v>
      </c>
      <c r="J97" s="13" t="s">
        <v>27</v>
      </c>
      <c r="K97" s="18">
        <v>39</v>
      </c>
      <c r="L97" s="13">
        <v>725.63</v>
      </c>
      <c r="M97" s="13">
        <v>28299.57</v>
      </c>
      <c r="N97" s="18">
        <v>15</v>
      </c>
      <c r="O97" s="21">
        <v>2</v>
      </c>
      <c r="P97" s="27" t="str">
        <f>IF(AND(Late_Orders[[#This Row],[Order_Status]]="Late", Late_Orders[[#This Row],[Shipment_Delay]]&gt;=5),"Yes","No")</f>
        <v>No</v>
      </c>
    </row>
    <row r="98" spans="1:16" x14ac:dyDescent="0.25">
      <c r="A98" s="12" t="s">
        <v>257</v>
      </c>
      <c r="B98" s="13" t="s">
        <v>24</v>
      </c>
      <c r="C98" s="13" t="s">
        <v>25</v>
      </c>
      <c r="D98" s="13" t="s">
        <v>17</v>
      </c>
      <c r="E98" s="13" t="s">
        <v>40</v>
      </c>
      <c r="F98" s="23">
        <v>45700</v>
      </c>
      <c r="G98" s="23">
        <v>45705</v>
      </c>
      <c r="H98" s="23">
        <v>45708</v>
      </c>
      <c r="I98" s="23">
        <v>45712</v>
      </c>
      <c r="J98" s="13" t="s">
        <v>27</v>
      </c>
      <c r="K98" s="18">
        <v>188</v>
      </c>
      <c r="L98" s="13">
        <v>170.48</v>
      </c>
      <c r="M98" s="13">
        <v>32050.240000000002</v>
      </c>
      <c r="N98" s="18">
        <v>8</v>
      </c>
      <c r="O98" s="21">
        <v>3</v>
      </c>
      <c r="P98" s="27" t="str">
        <f>IF(AND(Late_Orders[[#This Row],[Order_Status]]="Late", Late_Orders[[#This Row],[Shipment_Delay]]&gt;=5),"Yes","No")</f>
        <v>No</v>
      </c>
    </row>
    <row r="99" spans="1:16" x14ac:dyDescent="0.25">
      <c r="A99" s="12" t="s">
        <v>261</v>
      </c>
      <c r="B99" s="13" t="s">
        <v>45</v>
      </c>
      <c r="C99" s="13" t="s">
        <v>34</v>
      </c>
      <c r="D99" s="13" t="s">
        <v>22</v>
      </c>
      <c r="E99" s="13" t="s">
        <v>18</v>
      </c>
      <c r="F99" s="23">
        <v>45756</v>
      </c>
      <c r="G99" s="23">
        <v>45763</v>
      </c>
      <c r="H99" s="23">
        <v>45766</v>
      </c>
      <c r="I99" s="23">
        <v>45767</v>
      </c>
      <c r="J99" s="13" t="s">
        <v>27</v>
      </c>
      <c r="K99" s="18">
        <v>80</v>
      </c>
      <c r="L99" s="13">
        <v>321.89999999999998</v>
      </c>
      <c r="M99" s="13">
        <v>25752</v>
      </c>
      <c r="N99" s="18">
        <v>10</v>
      </c>
      <c r="O99" s="21">
        <v>3</v>
      </c>
      <c r="P99" s="27" t="str">
        <f>IF(AND(Late_Orders[[#This Row],[Order_Status]]="Late", Late_Orders[[#This Row],[Shipment_Delay]]&gt;=5),"Yes","No")</f>
        <v>No</v>
      </c>
    </row>
    <row r="100" spans="1:16" x14ac:dyDescent="0.25">
      <c r="A100" s="12" t="s">
        <v>262</v>
      </c>
      <c r="B100" s="13" t="s">
        <v>53</v>
      </c>
      <c r="C100" s="13" t="s">
        <v>34</v>
      </c>
      <c r="D100" s="13" t="s">
        <v>22</v>
      </c>
      <c r="E100" s="13" t="s">
        <v>40</v>
      </c>
      <c r="F100" s="23">
        <v>45677</v>
      </c>
      <c r="G100" s="23">
        <v>45687</v>
      </c>
      <c r="H100" s="23">
        <v>45690</v>
      </c>
      <c r="I100" s="23">
        <v>45695</v>
      </c>
      <c r="J100" s="13" t="s">
        <v>27</v>
      </c>
      <c r="K100" s="18">
        <v>184</v>
      </c>
      <c r="L100" s="13">
        <v>473.61</v>
      </c>
      <c r="M100" s="13">
        <v>87144.24</v>
      </c>
      <c r="N100" s="18">
        <v>13</v>
      </c>
      <c r="O100" s="21">
        <v>3</v>
      </c>
      <c r="P100" s="27" t="str">
        <f>IF(AND(Late_Orders[[#This Row],[Order_Status]]="Late", Late_Orders[[#This Row],[Shipment_Delay]]&gt;=5),"Yes","No")</f>
        <v>No</v>
      </c>
    </row>
    <row r="101" spans="1:16" x14ac:dyDescent="0.25">
      <c r="A101" s="12" t="s">
        <v>263</v>
      </c>
      <c r="B101" s="13" t="s">
        <v>42</v>
      </c>
      <c r="C101" s="13" t="s">
        <v>16</v>
      </c>
      <c r="D101" s="13" t="s">
        <v>35</v>
      </c>
      <c r="E101" s="13" t="s">
        <v>63</v>
      </c>
      <c r="F101" s="23">
        <v>45754</v>
      </c>
      <c r="G101" s="23">
        <v>45766</v>
      </c>
      <c r="H101" s="23">
        <v>45771</v>
      </c>
      <c r="I101" s="23">
        <v>45772</v>
      </c>
      <c r="J101" s="13" t="s">
        <v>27</v>
      </c>
      <c r="K101" s="18">
        <v>140</v>
      </c>
      <c r="L101" s="13">
        <v>602.64</v>
      </c>
      <c r="M101" s="13">
        <v>84369.600000000006</v>
      </c>
      <c r="N101" s="18">
        <v>17</v>
      </c>
      <c r="O101" s="21">
        <v>5</v>
      </c>
      <c r="P101" s="27" t="str">
        <f>IF(AND(Late_Orders[[#This Row],[Order_Status]]="Late", Late_Orders[[#This Row],[Shipment_Delay]]&gt;=5),"Yes","No")</f>
        <v>Yes</v>
      </c>
    </row>
    <row r="102" spans="1:16" x14ac:dyDescent="0.25">
      <c r="A102" s="12" t="s">
        <v>267</v>
      </c>
      <c r="B102" s="13" t="s">
        <v>38</v>
      </c>
      <c r="C102" s="13" t="s">
        <v>46</v>
      </c>
      <c r="D102" s="13" t="s">
        <v>39</v>
      </c>
      <c r="E102" s="13" t="s">
        <v>18</v>
      </c>
      <c r="F102" s="23">
        <v>45662</v>
      </c>
      <c r="G102" s="23">
        <v>45669</v>
      </c>
      <c r="H102" s="23">
        <v>45670</v>
      </c>
      <c r="I102" s="23">
        <v>45672</v>
      </c>
      <c r="J102" s="13" t="s">
        <v>27</v>
      </c>
      <c r="K102" s="18">
        <v>169</v>
      </c>
      <c r="L102" s="13">
        <v>831.91</v>
      </c>
      <c r="M102" s="13">
        <v>140592.79</v>
      </c>
      <c r="N102" s="18">
        <v>8</v>
      </c>
      <c r="O102" s="21">
        <v>1</v>
      </c>
      <c r="P102" s="27" t="str">
        <f>IF(AND(Late_Orders[[#This Row],[Order_Status]]="Late", Late_Orders[[#This Row],[Shipment_Delay]]&gt;=5),"Yes","No")</f>
        <v>No</v>
      </c>
    </row>
    <row r="103" spans="1:16" x14ac:dyDescent="0.25">
      <c r="A103" s="12" t="s">
        <v>268</v>
      </c>
      <c r="B103" s="13" t="s">
        <v>78</v>
      </c>
      <c r="C103" s="13" t="s">
        <v>46</v>
      </c>
      <c r="D103" s="13" t="s">
        <v>35</v>
      </c>
      <c r="E103" s="13" t="s">
        <v>26</v>
      </c>
      <c r="F103" s="23">
        <v>45769</v>
      </c>
      <c r="G103" s="23">
        <v>45778</v>
      </c>
      <c r="H103" s="23">
        <v>45779</v>
      </c>
      <c r="I103" s="23">
        <v>45780</v>
      </c>
      <c r="J103" s="13" t="s">
        <v>27</v>
      </c>
      <c r="K103" s="18">
        <v>174</v>
      </c>
      <c r="L103" s="13">
        <v>745.25</v>
      </c>
      <c r="M103" s="13">
        <v>129673.5</v>
      </c>
      <c r="N103" s="18">
        <v>10</v>
      </c>
      <c r="O103" s="21">
        <v>1</v>
      </c>
      <c r="P103" s="27" t="str">
        <f>IF(AND(Late_Orders[[#This Row],[Order_Status]]="Late", Late_Orders[[#This Row],[Shipment_Delay]]&gt;=5),"Yes","No")</f>
        <v>No</v>
      </c>
    </row>
    <row r="104" spans="1:16" x14ac:dyDescent="0.25">
      <c r="A104" s="12" t="s">
        <v>269</v>
      </c>
      <c r="B104" s="13" t="s">
        <v>29</v>
      </c>
      <c r="C104" s="13" t="s">
        <v>25</v>
      </c>
      <c r="D104" s="13" t="s">
        <v>39</v>
      </c>
      <c r="E104" s="13" t="s">
        <v>40</v>
      </c>
      <c r="F104" s="23">
        <v>45726</v>
      </c>
      <c r="G104" s="23">
        <v>45735</v>
      </c>
      <c r="H104" s="23">
        <v>45737</v>
      </c>
      <c r="I104" s="23">
        <v>45739</v>
      </c>
      <c r="J104" s="13" t="s">
        <v>27</v>
      </c>
      <c r="K104" s="18">
        <v>62</v>
      </c>
      <c r="L104" s="13">
        <v>712.08</v>
      </c>
      <c r="M104" s="13">
        <v>44148.959999999999</v>
      </c>
      <c r="N104" s="18">
        <v>11</v>
      </c>
      <c r="O104" s="21">
        <v>2</v>
      </c>
      <c r="P104" s="27" t="str">
        <f>IF(AND(Late_Orders[[#This Row],[Order_Status]]="Late", Late_Orders[[#This Row],[Shipment_Delay]]&gt;=5),"Yes","No")</f>
        <v>No</v>
      </c>
    </row>
    <row r="105" spans="1:16" x14ac:dyDescent="0.25">
      <c r="A105" s="12" t="s">
        <v>270</v>
      </c>
      <c r="B105" s="13" t="s">
        <v>24</v>
      </c>
      <c r="C105" s="13" t="s">
        <v>43</v>
      </c>
      <c r="D105" s="13" t="s">
        <v>59</v>
      </c>
      <c r="E105" s="13" t="s">
        <v>26</v>
      </c>
      <c r="F105" s="23">
        <v>45750</v>
      </c>
      <c r="G105" s="23">
        <v>45761</v>
      </c>
      <c r="H105" s="23">
        <v>45762</v>
      </c>
      <c r="I105" s="23">
        <v>45767</v>
      </c>
      <c r="J105" s="13" t="s">
        <v>27</v>
      </c>
      <c r="K105" s="18">
        <v>63</v>
      </c>
      <c r="L105" s="13">
        <v>221.67</v>
      </c>
      <c r="M105" s="13">
        <v>13965.21</v>
      </c>
      <c r="N105" s="18">
        <v>12</v>
      </c>
      <c r="O105" s="21">
        <v>1</v>
      </c>
      <c r="P105" s="27" t="str">
        <f>IF(AND(Late_Orders[[#This Row],[Order_Status]]="Late", Late_Orders[[#This Row],[Shipment_Delay]]&gt;=5),"Yes","No")</f>
        <v>No</v>
      </c>
    </row>
    <row r="106" spans="1:16" x14ac:dyDescent="0.25">
      <c r="A106" s="12" t="s">
        <v>274</v>
      </c>
      <c r="B106" s="13" t="s">
        <v>78</v>
      </c>
      <c r="C106" s="13" t="s">
        <v>21</v>
      </c>
      <c r="D106" s="13" t="s">
        <v>17</v>
      </c>
      <c r="E106" s="13" t="s">
        <v>18</v>
      </c>
      <c r="F106" s="23">
        <v>45724</v>
      </c>
      <c r="G106" s="23">
        <v>45730</v>
      </c>
      <c r="H106" s="23">
        <v>45731</v>
      </c>
      <c r="I106" s="23">
        <v>45734</v>
      </c>
      <c r="J106" s="13" t="s">
        <v>27</v>
      </c>
      <c r="K106" s="18">
        <v>147</v>
      </c>
      <c r="L106" s="13">
        <v>807.01</v>
      </c>
      <c r="M106" s="13">
        <v>118630.47</v>
      </c>
      <c r="N106" s="18">
        <v>7</v>
      </c>
      <c r="O106" s="21">
        <v>1</v>
      </c>
      <c r="P106" s="27" t="str">
        <f>IF(AND(Late_Orders[[#This Row],[Order_Status]]="Late", Late_Orders[[#This Row],[Shipment_Delay]]&gt;=5),"Yes","No")</f>
        <v>No</v>
      </c>
    </row>
    <row r="107" spans="1:16" x14ac:dyDescent="0.25">
      <c r="A107" s="12" t="s">
        <v>275</v>
      </c>
      <c r="B107" s="13" t="s">
        <v>38</v>
      </c>
      <c r="C107" s="13" t="s">
        <v>43</v>
      </c>
      <c r="D107" s="13" t="s">
        <v>59</v>
      </c>
      <c r="E107" s="13" t="s">
        <v>18</v>
      </c>
      <c r="F107" s="23">
        <v>45664</v>
      </c>
      <c r="G107" s="23">
        <v>45672</v>
      </c>
      <c r="H107" s="23">
        <v>45675</v>
      </c>
      <c r="I107" s="23">
        <v>45679</v>
      </c>
      <c r="J107" s="13" t="s">
        <v>27</v>
      </c>
      <c r="K107" s="18">
        <v>86</v>
      </c>
      <c r="L107" s="13">
        <v>596.41999999999996</v>
      </c>
      <c r="M107" s="13">
        <v>51292.12</v>
      </c>
      <c r="N107" s="18">
        <v>11</v>
      </c>
      <c r="O107" s="21">
        <v>3</v>
      </c>
      <c r="P107" s="27" t="str">
        <f>IF(AND(Late_Orders[[#This Row],[Order_Status]]="Late", Late_Orders[[#This Row],[Shipment_Delay]]&gt;=5),"Yes","No")</f>
        <v>No</v>
      </c>
    </row>
    <row r="108" spans="1:16" x14ac:dyDescent="0.25">
      <c r="A108" s="12" t="s">
        <v>276</v>
      </c>
      <c r="B108" s="13" t="s">
        <v>78</v>
      </c>
      <c r="C108" s="13" t="s">
        <v>30</v>
      </c>
      <c r="D108" s="13" t="s">
        <v>35</v>
      </c>
      <c r="E108" s="13" t="s">
        <v>63</v>
      </c>
      <c r="F108" s="23">
        <v>45681</v>
      </c>
      <c r="G108" s="23">
        <v>45696</v>
      </c>
      <c r="H108" s="23">
        <v>45698</v>
      </c>
      <c r="I108" s="23">
        <v>45702</v>
      </c>
      <c r="J108" s="13" t="s">
        <v>27</v>
      </c>
      <c r="K108" s="18">
        <v>62</v>
      </c>
      <c r="L108" s="13">
        <v>266.11</v>
      </c>
      <c r="M108" s="13">
        <v>16498.82</v>
      </c>
      <c r="N108" s="18">
        <v>17</v>
      </c>
      <c r="O108" s="21">
        <v>2</v>
      </c>
      <c r="P108" s="27" t="str">
        <f>IF(AND(Late_Orders[[#This Row],[Order_Status]]="Late", Late_Orders[[#This Row],[Shipment_Delay]]&gt;=5),"Yes","No")</f>
        <v>No</v>
      </c>
    </row>
    <row r="109" spans="1:16" x14ac:dyDescent="0.25">
      <c r="A109" s="12" t="s">
        <v>279</v>
      </c>
      <c r="B109" s="13" t="s">
        <v>24</v>
      </c>
      <c r="C109" s="13" t="s">
        <v>25</v>
      </c>
      <c r="D109" s="13" t="s">
        <v>35</v>
      </c>
      <c r="E109" s="13" t="s">
        <v>26</v>
      </c>
      <c r="F109" s="23">
        <v>45760</v>
      </c>
      <c r="G109" s="23">
        <v>45775</v>
      </c>
      <c r="H109" s="23">
        <v>45777</v>
      </c>
      <c r="I109" s="23">
        <v>45782</v>
      </c>
      <c r="J109" s="13" t="s">
        <v>27</v>
      </c>
      <c r="K109" s="18">
        <v>58</v>
      </c>
      <c r="L109" s="13">
        <v>741.01</v>
      </c>
      <c r="M109" s="13">
        <v>42978.58</v>
      </c>
      <c r="N109" s="18">
        <v>17</v>
      </c>
      <c r="O109" s="21">
        <v>2</v>
      </c>
      <c r="P109" s="27" t="str">
        <f>IF(AND(Late_Orders[[#This Row],[Order_Status]]="Late", Late_Orders[[#This Row],[Shipment_Delay]]&gt;=5),"Yes","No")</f>
        <v>No</v>
      </c>
    </row>
    <row r="110" spans="1:16" x14ac:dyDescent="0.25">
      <c r="A110" s="12" t="s">
        <v>280</v>
      </c>
      <c r="B110" s="13" t="s">
        <v>45</v>
      </c>
      <c r="C110" s="13" t="s">
        <v>34</v>
      </c>
      <c r="D110" s="13" t="s">
        <v>39</v>
      </c>
      <c r="E110" s="13" t="s">
        <v>26</v>
      </c>
      <c r="F110" s="23">
        <v>45777</v>
      </c>
      <c r="G110" s="23">
        <v>45783</v>
      </c>
      <c r="H110" s="23">
        <v>45786</v>
      </c>
      <c r="I110" s="23">
        <v>45787</v>
      </c>
      <c r="J110" s="13" t="s">
        <v>27</v>
      </c>
      <c r="K110" s="18">
        <v>198</v>
      </c>
      <c r="L110" s="13">
        <v>414.9</v>
      </c>
      <c r="M110" s="13">
        <v>82150.2</v>
      </c>
      <c r="N110" s="18">
        <v>9</v>
      </c>
      <c r="O110" s="21">
        <v>3</v>
      </c>
      <c r="P110" s="27" t="str">
        <f>IF(AND(Late_Orders[[#This Row],[Order_Status]]="Late", Late_Orders[[#This Row],[Shipment_Delay]]&gt;=5),"Yes","No")</f>
        <v>No</v>
      </c>
    </row>
    <row r="111" spans="1:16" x14ac:dyDescent="0.25">
      <c r="A111" s="12" t="s">
        <v>281</v>
      </c>
      <c r="B111" s="13" t="s">
        <v>56</v>
      </c>
      <c r="C111" s="13" t="s">
        <v>25</v>
      </c>
      <c r="D111" s="13" t="s">
        <v>59</v>
      </c>
      <c r="E111" s="13" t="s">
        <v>63</v>
      </c>
      <c r="F111" s="23">
        <v>45728</v>
      </c>
      <c r="G111" s="23">
        <v>45736</v>
      </c>
      <c r="H111" s="23">
        <v>45741</v>
      </c>
      <c r="I111" s="23">
        <v>45744</v>
      </c>
      <c r="J111" s="13" t="s">
        <v>27</v>
      </c>
      <c r="K111" s="18">
        <v>141</v>
      </c>
      <c r="L111" s="13">
        <v>556.67999999999995</v>
      </c>
      <c r="M111" s="13">
        <v>78491.88</v>
      </c>
      <c r="N111" s="18">
        <v>13</v>
      </c>
      <c r="O111" s="21">
        <v>5</v>
      </c>
      <c r="P111" s="27" t="str">
        <f>IF(AND(Late_Orders[[#This Row],[Order_Status]]="Late", Late_Orders[[#This Row],[Shipment_Delay]]&gt;=5),"Yes","No")</f>
        <v>Yes</v>
      </c>
    </row>
    <row r="112" spans="1:16" x14ac:dyDescent="0.25">
      <c r="A112" s="12" t="s">
        <v>282</v>
      </c>
      <c r="B112" s="13" t="s">
        <v>24</v>
      </c>
      <c r="C112" s="13" t="s">
        <v>34</v>
      </c>
      <c r="D112" s="13" t="s">
        <v>59</v>
      </c>
      <c r="E112" s="13" t="s">
        <v>57</v>
      </c>
      <c r="F112" s="23">
        <v>45770</v>
      </c>
      <c r="G112" s="23">
        <v>45780</v>
      </c>
      <c r="H112" s="23">
        <v>45781</v>
      </c>
      <c r="I112" s="23">
        <v>45782</v>
      </c>
      <c r="J112" s="13" t="s">
        <v>27</v>
      </c>
      <c r="K112" s="18">
        <v>189</v>
      </c>
      <c r="L112" s="13">
        <v>407.02</v>
      </c>
      <c r="M112" s="13">
        <v>76926.78</v>
      </c>
      <c r="N112" s="18">
        <v>11</v>
      </c>
      <c r="O112" s="21">
        <v>1</v>
      </c>
      <c r="P112" s="27" t="str">
        <f>IF(AND(Late_Orders[[#This Row],[Order_Status]]="Late", Late_Orders[[#This Row],[Shipment_Delay]]&gt;=5),"Yes","No")</f>
        <v>No</v>
      </c>
    </row>
    <row r="113" spans="1:16" x14ac:dyDescent="0.25">
      <c r="A113" s="12" t="s">
        <v>283</v>
      </c>
      <c r="B113" s="13" t="s">
        <v>48</v>
      </c>
      <c r="C113" s="13" t="s">
        <v>21</v>
      </c>
      <c r="D113" s="13" t="s">
        <v>59</v>
      </c>
      <c r="E113" s="13" t="s">
        <v>26</v>
      </c>
      <c r="F113" s="23">
        <v>45710</v>
      </c>
      <c r="G113" s="23">
        <v>45713</v>
      </c>
      <c r="H113" s="23">
        <v>45715</v>
      </c>
      <c r="I113" s="23">
        <v>45717</v>
      </c>
      <c r="J113" s="13" t="s">
        <v>27</v>
      </c>
      <c r="K113" s="18">
        <v>9</v>
      </c>
      <c r="L113" s="13">
        <v>232.75</v>
      </c>
      <c r="M113" s="13">
        <v>2094.75</v>
      </c>
      <c r="N113" s="18">
        <v>5</v>
      </c>
      <c r="O113" s="21">
        <v>2</v>
      </c>
      <c r="P113" s="27" t="str">
        <f>IF(AND(Late_Orders[[#This Row],[Order_Status]]="Late", Late_Orders[[#This Row],[Shipment_Delay]]&gt;=5),"Yes","No")</f>
        <v>No</v>
      </c>
    </row>
    <row r="114" spans="1:16" x14ac:dyDescent="0.25">
      <c r="A114" s="12" t="s">
        <v>286</v>
      </c>
      <c r="B114" s="13" t="s">
        <v>29</v>
      </c>
      <c r="C114" s="13" t="s">
        <v>51</v>
      </c>
      <c r="D114" s="13" t="s">
        <v>39</v>
      </c>
      <c r="E114" s="13" t="s">
        <v>26</v>
      </c>
      <c r="F114" s="23">
        <v>45740</v>
      </c>
      <c r="G114" s="23">
        <v>45743</v>
      </c>
      <c r="H114" s="23">
        <v>45745</v>
      </c>
      <c r="I114" s="23">
        <v>45746</v>
      </c>
      <c r="J114" s="13" t="s">
        <v>27</v>
      </c>
      <c r="K114" s="18">
        <v>24</v>
      </c>
      <c r="L114" s="13">
        <v>804.23</v>
      </c>
      <c r="M114" s="13">
        <v>19301.52</v>
      </c>
      <c r="N114" s="18">
        <v>5</v>
      </c>
      <c r="O114" s="21">
        <v>2</v>
      </c>
      <c r="P114" s="27" t="str">
        <f>IF(AND(Late_Orders[[#This Row],[Order_Status]]="Late", Late_Orders[[#This Row],[Shipment_Delay]]&gt;=5),"Yes","No")</f>
        <v>No</v>
      </c>
    </row>
    <row r="115" spans="1:16" x14ac:dyDescent="0.25">
      <c r="A115" s="12" t="s">
        <v>289</v>
      </c>
      <c r="B115" s="13" t="s">
        <v>42</v>
      </c>
      <c r="C115" s="13" t="s">
        <v>43</v>
      </c>
      <c r="D115" s="13" t="s">
        <v>22</v>
      </c>
      <c r="E115" s="13" t="s">
        <v>26</v>
      </c>
      <c r="F115" s="23">
        <v>45762</v>
      </c>
      <c r="G115" s="23">
        <v>45776</v>
      </c>
      <c r="H115" s="23">
        <v>45779</v>
      </c>
      <c r="I115" s="23">
        <v>45783</v>
      </c>
      <c r="J115" s="13" t="s">
        <v>27</v>
      </c>
      <c r="K115" s="18">
        <v>50</v>
      </c>
      <c r="L115" s="13">
        <v>104.36</v>
      </c>
      <c r="M115" s="13">
        <v>5218</v>
      </c>
      <c r="N115" s="18">
        <v>17</v>
      </c>
      <c r="O115" s="21">
        <v>3</v>
      </c>
      <c r="P115" s="27" t="str">
        <f>IF(AND(Late_Orders[[#This Row],[Order_Status]]="Late", Late_Orders[[#This Row],[Shipment_Delay]]&gt;=5),"Yes","No")</f>
        <v>No</v>
      </c>
    </row>
    <row r="116" spans="1:16" x14ac:dyDescent="0.25">
      <c r="A116" s="12" t="s">
        <v>292</v>
      </c>
      <c r="B116" s="13" t="s">
        <v>42</v>
      </c>
      <c r="C116" s="13" t="s">
        <v>51</v>
      </c>
      <c r="D116" s="13" t="s">
        <v>22</v>
      </c>
      <c r="E116" s="13" t="s">
        <v>26</v>
      </c>
      <c r="F116" s="23">
        <v>45679</v>
      </c>
      <c r="G116" s="23">
        <v>45683</v>
      </c>
      <c r="H116" s="23">
        <v>45684</v>
      </c>
      <c r="I116" s="23">
        <v>45688</v>
      </c>
      <c r="J116" s="13" t="s">
        <v>27</v>
      </c>
      <c r="K116" s="18">
        <v>89</v>
      </c>
      <c r="L116" s="13">
        <v>487.49</v>
      </c>
      <c r="M116" s="13">
        <v>43386.61</v>
      </c>
      <c r="N116" s="18">
        <v>5</v>
      </c>
      <c r="O116" s="21">
        <v>1</v>
      </c>
      <c r="P116" s="27" t="str">
        <f>IF(AND(Late_Orders[[#This Row],[Order_Status]]="Late", Late_Orders[[#This Row],[Shipment_Delay]]&gt;=5),"Yes","No")</f>
        <v>No</v>
      </c>
    </row>
    <row r="117" spans="1:16" x14ac:dyDescent="0.25">
      <c r="A117" s="12" t="s">
        <v>293</v>
      </c>
      <c r="B117" s="13" t="s">
        <v>56</v>
      </c>
      <c r="C117" s="13" t="s">
        <v>51</v>
      </c>
      <c r="D117" s="13" t="s">
        <v>22</v>
      </c>
      <c r="E117" s="13" t="s">
        <v>57</v>
      </c>
      <c r="F117" s="23">
        <v>45773</v>
      </c>
      <c r="G117" s="23">
        <v>45787</v>
      </c>
      <c r="H117" s="23">
        <v>45789</v>
      </c>
      <c r="I117" s="23">
        <v>45793</v>
      </c>
      <c r="J117" s="13" t="s">
        <v>27</v>
      </c>
      <c r="K117" s="18">
        <v>24</v>
      </c>
      <c r="L117" s="13">
        <v>586.5</v>
      </c>
      <c r="M117" s="13">
        <v>14076</v>
      </c>
      <c r="N117" s="18">
        <v>16</v>
      </c>
      <c r="O117" s="21">
        <v>2</v>
      </c>
      <c r="P117" s="27" t="str">
        <f>IF(AND(Late_Orders[[#This Row],[Order_Status]]="Late", Late_Orders[[#This Row],[Shipment_Delay]]&gt;=5),"Yes","No")</f>
        <v>No</v>
      </c>
    </row>
    <row r="118" spans="1:16" x14ac:dyDescent="0.25">
      <c r="A118" s="12" t="s">
        <v>294</v>
      </c>
      <c r="B118" s="13" t="s">
        <v>42</v>
      </c>
      <c r="C118" s="13" t="s">
        <v>25</v>
      </c>
      <c r="D118" s="13" t="s">
        <v>22</v>
      </c>
      <c r="E118" s="13" t="s">
        <v>63</v>
      </c>
      <c r="F118" s="23">
        <v>45660</v>
      </c>
      <c r="G118" s="23">
        <v>45666</v>
      </c>
      <c r="H118" s="23">
        <v>45668</v>
      </c>
      <c r="I118" s="23">
        <v>45670</v>
      </c>
      <c r="J118" s="13" t="s">
        <v>27</v>
      </c>
      <c r="K118" s="18">
        <v>187</v>
      </c>
      <c r="L118" s="13">
        <v>700.45</v>
      </c>
      <c r="M118" s="13">
        <v>130984.15</v>
      </c>
      <c r="N118" s="18">
        <v>8</v>
      </c>
      <c r="O118" s="21">
        <v>2</v>
      </c>
      <c r="P118" s="27" t="str">
        <f>IF(AND(Late_Orders[[#This Row],[Order_Status]]="Late", Late_Orders[[#This Row],[Shipment_Delay]]&gt;=5),"Yes","No")</f>
        <v>No</v>
      </c>
    </row>
    <row r="119" spans="1:16" x14ac:dyDescent="0.25">
      <c r="A119" s="12" t="s">
        <v>295</v>
      </c>
      <c r="B119" s="13" t="s">
        <v>78</v>
      </c>
      <c r="C119" s="13" t="s">
        <v>16</v>
      </c>
      <c r="D119" s="13" t="s">
        <v>17</v>
      </c>
      <c r="E119" s="13" t="s">
        <v>40</v>
      </c>
      <c r="F119" s="23">
        <v>45688</v>
      </c>
      <c r="G119" s="23">
        <v>45700</v>
      </c>
      <c r="H119" s="23">
        <v>45705</v>
      </c>
      <c r="I119" s="23">
        <v>45709</v>
      </c>
      <c r="J119" s="13" t="s">
        <v>27</v>
      </c>
      <c r="K119" s="18">
        <v>143</v>
      </c>
      <c r="L119" s="13">
        <v>291.99</v>
      </c>
      <c r="M119" s="13">
        <v>41754.57</v>
      </c>
      <c r="N119" s="18">
        <v>17</v>
      </c>
      <c r="O119" s="21">
        <v>5</v>
      </c>
      <c r="P119" s="27" t="str">
        <f>IF(AND(Late_Orders[[#This Row],[Order_Status]]="Late", Late_Orders[[#This Row],[Shipment_Delay]]&gt;=5),"Yes","No")</f>
        <v>Yes</v>
      </c>
    </row>
    <row r="120" spans="1:16" x14ac:dyDescent="0.25">
      <c r="A120" s="12" t="s">
        <v>297</v>
      </c>
      <c r="B120" s="13" t="s">
        <v>38</v>
      </c>
      <c r="C120" s="13" t="s">
        <v>21</v>
      </c>
      <c r="D120" s="13" t="s">
        <v>22</v>
      </c>
      <c r="E120" s="13" t="s">
        <v>40</v>
      </c>
      <c r="F120" s="23">
        <v>45739</v>
      </c>
      <c r="G120" s="23">
        <v>45746</v>
      </c>
      <c r="H120" s="23">
        <v>45751</v>
      </c>
      <c r="I120" s="23">
        <v>45755</v>
      </c>
      <c r="J120" s="13" t="s">
        <v>27</v>
      </c>
      <c r="K120" s="18">
        <v>96</v>
      </c>
      <c r="L120" s="13">
        <v>476.79</v>
      </c>
      <c r="M120" s="13">
        <v>45771.839999999997</v>
      </c>
      <c r="N120" s="18">
        <v>12</v>
      </c>
      <c r="O120" s="21">
        <v>5</v>
      </c>
      <c r="P120" s="27" t="str">
        <f>IF(AND(Late_Orders[[#This Row],[Order_Status]]="Late", Late_Orders[[#This Row],[Shipment_Delay]]&gt;=5),"Yes","No")</f>
        <v>Yes</v>
      </c>
    </row>
    <row r="121" spans="1:16" x14ac:dyDescent="0.25">
      <c r="A121" s="12" t="s">
        <v>298</v>
      </c>
      <c r="B121" s="13" t="s">
        <v>42</v>
      </c>
      <c r="C121" s="13" t="s">
        <v>16</v>
      </c>
      <c r="D121" s="13" t="s">
        <v>59</v>
      </c>
      <c r="E121" s="13" t="s">
        <v>26</v>
      </c>
      <c r="F121" s="23">
        <v>45732</v>
      </c>
      <c r="G121" s="23">
        <v>45745</v>
      </c>
      <c r="H121" s="23">
        <v>45746</v>
      </c>
      <c r="I121" s="23">
        <v>45747</v>
      </c>
      <c r="J121" s="13" t="s">
        <v>27</v>
      </c>
      <c r="K121" s="18">
        <v>80</v>
      </c>
      <c r="L121" s="13">
        <v>681.38</v>
      </c>
      <c r="M121" s="13">
        <v>54510.400000000001</v>
      </c>
      <c r="N121" s="18">
        <v>14</v>
      </c>
      <c r="O121" s="21">
        <v>1</v>
      </c>
      <c r="P121" s="27" t="str">
        <f>IF(AND(Late_Orders[[#This Row],[Order_Status]]="Late", Late_Orders[[#This Row],[Shipment_Delay]]&gt;=5),"Yes","No")</f>
        <v>No</v>
      </c>
    </row>
    <row r="122" spans="1:16" x14ac:dyDescent="0.25">
      <c r="A122" s="12" t="s">
        <v>299</v>
      </c>
      <c r="B122" s="13" t="s">
        <v>42</v>
      </c>
      <c r="C122" s="13" t="s">
        <v>51</v>
      </c>
      <c r="D122" s="13" t="s">
        <v>59</v>
      </c>
      <c r="E122" s="13" t="s">
        <v>18</v>
      </c>
      <c r="F122" s="23">
        <v>45706</v>
      </c>
      <c r="G122" s="23">
        <v>45720</v>
      </c>
      <c r="H122" s="23">
        <v>45725</v>
      </c>
      <c r="I122" s="23">
        <v>45727</v>
      </c>
      <c r="J122" s="13" t="s">
        <v>27</v>
      </c>
      <c r="K122" s="18">
        <v>86</v>
      </c>
      <c r="L122" s="13">
        <v>316.18</v>
      </c>
      <c r="M122" s="13">
        <v>27191.48</v>
      </c>
      <c r="N122" s="18">
        <v>19</v>
      </c>
      <c r="O122" s="21">
        <v>5</v>
      </c>
      <c r="P122" s="27" t="str">
        <f>IF(AND(Late_Orders[[#This Row],[Order_Status]]="Late", Late_Orders[[#This Row],[Shipment_Delay]]&gt;=5),"Yes","No")</f>
        <v>Yes</v>
      </c>
    </row>
    <row r="123" spans="1:16" x14ac:dyDescent="0.25">
      <c r="A123" s="12" t="s">
        <v>301</v>
      </c>
      <c r="B123" s="13" t="s">
        <v>29</v>
      </c>
      <c r="C123" s="13" t="s">
        <v>25</v>
      </c>
      <c r="D123" s="13" t="s">
        <v>39</v>
      </c>
      <c r="E123" s="13" t="s">
        <v>18</v>
      </c>
      <c r="F123" s="23">
        <v>45669</v>
      </c>
      <c r="G123" s="23">
        <v>45677</v>
      </c>
      <c r="H123" s="23">
        <v>45679</v>
      </c>
      <c r="I123" s="23">
        <v>45680</v>
      </c>
      <c r="J123" s="13" t="s">
        <v>27</v>
      </c>
      <c r="K123" s="18">
        <v>88</v>
      </c>
      <c r="L123" s="13">
        <v>736.2</v>
      </c>
      <c r="M123" s="13">
        <v>64785.599999999999</v>
      </c>
      <c r="N123" s="18">
        <v>10</v>
      </c>
      <c r="O123" s="21">
        <v>2</v>
      </c>
      <c r="P123" s="27" t="str">
        <f>IF(AND(Late_Orders[[#This Row],[Order_Status]]="Late", Late_Orders[[#This Row],[Shipment_Delay]]&gt;=5),"Yes","No")</f>
        <v>No</v>
      </c>
    </row>
    <row r="124" spans="1:16" x14ac:dyDescent="0.25">
      <c r="A124" s="12" t="s">
        <v>302</v>
      </c>
      <c r="B124" s="13" t="s">
        <v>78</v>
      </c>
      <c r="C124" s="13" t="s">
        <v>21</v>
      </c>
      <c r="D124" s="13" t="s">
        <v>22</v>
      </c>
      <c r="E124" s="13" t="s">
        <v>26</v>
      </c>
      <c r="F124" s="23">
        <v>45757</v>
      </c>
      <c r="G124" s="23">
        <v>45761</v>
      </c>
      <c r="H124" s="23">
        <v>45764</v>
      </c>
      <c r="I124" s="23">
        <v>45769</v>
      </c>
      <c r="J124" s="13" t="s">
        <v>27</v>
      </c>
      <c r="K124" s="18">
        <v>67</v>
      </c>
      <c r="L124" s="13">
        <v>492.59</v>
      </c>
      <c r="M124" s="13">
        <v>33003.53</v>
      </c>
      <c r="N124" s="18">
        <v>7</v>
      </c>
      <c r="O124" s="21">
        <v>3</v>
      </c>
      <c r="P124" s="27" t="str">
        <f>IF(AND(Late_Orders[[#This Row],[Order_Status]]="Late", Late_Orders[[#This Row],[Shipment_Delay]]&gt;=5),"Yes","No")</f>
        <v>No</v>
      </c>
    </row>
    <row r="125" spans="1:16" x14ac:dyDescent="0.25">
      <c r="A125" s="12" t="s">
        <v>304</v>
      </c>
      <c r="B125" s="13" t="s">
        <v>78</v>
      </c>
      <c r="C125" s="13" t="s">
        <v>25</v>
      </c>
      <c r="D125" s="13" t="s">
        <v>35</v>
      </c>
      <c r="E125" s="13" t="s">
        <v>18</v>
      </c>
      <c r="F125" s="23">
        <v>45690</v>
      </c>
      <c r="G125" s="23">
        <v>45696</v>
      </c>
      <c r="H125" s="23">
        <v>45699</v>
      </c>
      <c r="I125" s="23">
        <v>45703</v>
      </c>
      <c r="J125" s="13" t="s">
        <v>27</v>
      </c>
      <c r="K125" s="18">
        <v>55</v>
      </c>
      <c r="L125" s="13">
        <v>397.31</v>
      </c>
      <c r="M125" s="13">
        <v>21852.05</v>
      </c>
      <c r="N125" s="18">
        <v>9</v>
      </c>
      <c r="O125" s="21">
        <v>3</v>
      </c>
      <c r="P125" s="27" t="str">
        <f>IF(AND(Late_Orders[[#This Row],[Order_Status]]="Late", Late_Orders[[#This Row],[Shipment_Delay]]&gt;=5),"Yes","No")</f>
        <v>No</v>
      </c>
    </row>
    <row r="126" spans="1:16" x14ac:dyDescent="0.25">
      <c r="A126" s="12" t="s">
        <v>305</v>
      </c>
      <c r="B126" s="13" t="s">
        <v>48</v>
      </c>
      <c r="C126" s="13" t="s">
        <v>43</v>
      </c>
      <c r="D126" s="13" t="s">
        <v>59</v>
      </c>
      <c r="E126" s="13" t="s">
        <v>57</v>
      </c>
      <c r="F126" s="23">
        <v>45700</v>
      </c>
      <c r="G126" s="23">
        <v>45712</v>
      </c>
      <c r="H126" s="23">
        <v>45713</v>
      </c>
      <c r="I126" s="23">
        <v>45716</v>
      </c>
      <c r="J126" s="13" t="s">
        <v>27</v>
      </c>
      <c r="K126" s="18">
        <v>115</v>
      </c>
      <c r="L126" s="13">
        <v>695.92</v>
      </c>
      <c r="M126" s="13">
        <v>80030.8</v>
      </c>
      <c r="N126" s="18">
        <v>13</v>
      </c>
      <c r="O126" s="21">
        <v>1</v>
      </c>
      <c r="P126" s="27" t="str">
        <f>IF(AND(Late_Orders[[#This Row],[Order_Status]]="Late", Late_Orders[[#This Row],[Shipment_Delay]]&gt;=5),"Yes","No")</f>
        <v>No</v>
      </c>
    </row>
    <row r="127" spans="1:16" x14ac:dyDescent="0.25">
      <c r="A127" s="12" t="s">
        <v>308</v>
      </c>
      <c r="B127" s="13" t="s">
        <v>42</v>
      </c>
      <c r="C127" s="13" t="s">
        <v>21</v>
      </c>
      <c r="D127" s="13" t="s">
        <v>39</v>
      </c>
      <c r="E127" s="13" t="s">
        <v>26</v>
      </c>
      <c r="F127" s="23">
        <v>45751</v>
      </c>
      <c r="G127" s="23">
        <v>45761</v>
      </c>
      <c r="H127" s="23">
        <v>45764</v>
      </c>
      <c r="I127" s="23">
        <v>45766</v>
      </c>
      <c r="J127" s="13" t="s">
        <v>27</v>
      </c>
      <c r="K127" s="18">
        <v>79</v>
      </c>
      <c r="L127" s="13">
        <v>709.12</v>
      </c>
      <c r="M127" s="13">
        <v>56020.480000000003</v>
      </c>
      <c r="N127" s="18">
        <v>13</v>
      </c>
      <c r="O127" s="21">
        <v>3</v>
      </c>
      <c r="P127" s="27" t="str">
        <f>IF(AND(Late_Orders[[#This Row],[Order_Status]]="Late", Late_Orders[[#This Row],[Shipment_Delay]]&gt;=5),"Yes","No")</f>
        <v>No</v>
      </c>
    </row>
    <row r="128" spans="1:16" x14ac:dyDescent="0.25">
      <c r="A128" s="12" t="s">
        <v>310</v>
      </c>
      <c r="B128" s="13" t="s">
        <v>15</v>
      </c>
      <c r="C128" s="13" t="s">
        <v>16</v>
      </c>
      <c r="D128" s="13" t="s">
        <v>35</v>
      </c>
      <c r="E128" s="13" t="s">
        <v>26</v>
      </c>
      <c r="F128" s="23">
        <v>45726</v>
      </c>
      <c r="G128" s="23">
        <v>45737</v>
      </c>
      <c r="H128" s="23">
        <v>45742</v>
      </c>
      <c r="I128" s="23">
        <v>45746</v>
      </c>
      <c r="J128" s="13" t="s">
        <v>27</v>
      </c>
      <c r="K128" s="18">
        <v>97</v>
      </c>
      <c r="L128" s="13">
        <v>600.86</v>
      </c>
      <c r="M128" s="13">
        <v>58283.42</v>
      </c>
      <c r="N128" s="18">
        <v>16</v>
      </c>
      <c r="O128" s="21">
        <v>5</v>
      </c>
      <c r="P128" s="27" t="str">
        <f>IF(AND(Late_Orders[[#This Row],[Order_Status]]="Late", Late_Orders[[#This Row],[Shipment_Delay]]&gt;=5),"Yes","No")</f>
        <v>Yes</v>
      </c>
    </row>
    <row r="129" spans="1:16" x14ac:dyDescent="0.25">
      <c r="A129" s="12" t="s">
        <v>315</v>
      </c>
      <c r="B129" s="13" t="s">
        <v>45</v>
      </c>
      <c r="C129" s="13" t="s">
        <v>43</v>
      </c>
      <c r="D129" s="13" t="s">
        <v>17</v>
      </c>
      <c r="E129" s="13" t="s">
        <v>26</v>
      </c>
      <c r="F129" s="23">
        <v>45672</v>
      </c>
      <c r="G129" s="23">
        <v>45675</v>
      </c>
      <c r="H129" s="23">
        <v>45680</v>
      </c>
      <c r="I129" s="23">
        <v>45683</v>
      </c>
      <c r="J129" s="13" t="s">
        <v>27</v>
      </c>
      <c r="K129" s="18">
        <v>178</v>
      </c>
      <c r="L129" s="13">
        <v>683.04</v>
      </c>
      <c r="M129" s="13">
        <v>121581.12</v>
      </c>
      <c r="N129" s="18">
        <v>8</v>
      </c>
      <c r="O129" s="21">
        <v>5</v>
      </c>
      <c r="P129" s="27" t="str">
        <f>IF(AND(Late_Orders[[#This Row],[Order_Status]]="Late", Late_Orders[[#This Row],[Shipment_Delay]]&gt;=5),"Yes","No")</f>
        <v>Yes</v>
      </c>
    </row>
    <row r="130" spans="1:16" x14ac:dyDescent="0.25">
      <c r="A130" s="12" t="s">
        <v>316</v>
      </c>
      <c r="B130" s="13" t="s">
        <v>78</v>
      </c>
      <c r="C130" s="13" t="s">
        <v>21</v>
      </c>
      <c r="D130" s="13" t="s">
        <v>39</v>
      </c>
      <c r="E130" s="13" t="s">
        <v>31</v>
      </c>
      <c r="F130" s="23">
        <v>45700</v>
      </c>
      <c r="G130" s="23">
        <v>45711</v>
      </c>
      <c r="H130" s="23">
        <v>45712</v>
      </c>
      <c r="I130" s="23">
        <v>45716</v>
      </c>
      <c r="J130" s="13" t="s">
        <v>27</v>
      </c>
      <c r="K130" s="18">
        <v>108</v>
      </c>
      <c r="L130" s="13">
        <v>540.85</v>
      </c>
      <c r="M130" s="13">
        <v>58411.8</v>
      </c>
      <c r="N130" s="18">
        <v>12</v>
      </c>
      <c r="O130" s="21">
        <v>1</v>
      </c>
      <c r="P130" s="27" t="str">
        <f>IF(AND(Late_Orders[[#This Row],[Order_Status]]="Late", Late_Orders[[#This Row],[Shipment_Delay]]&gt;=5),"Yes","No")</f>
        <v>No</v>
      </c>
    </row>
    <row r="131" spans="1:16" x14ac:dyDescent="0.25">
      <c r="A131" s="12" t="s">
        <v>319</v>
      </c>
      <c r="B131" s="13" t="s">
        <v>56</v>
      </c>
      <c r="C131" s="13" t="s">
        <v>16</v>
      </c>
      <c r="D131" s="13" t="s">
        <v>22</v>
      </c>
      <c r="E131" s="13" t="s">
        <v>57</v>
      </c>
      <c r="F131" s="23">
        <v>45736</v>
      </c>
      <c r="G131" s="23">
        <v>45745</v>
      </c>
      <c r="H131" s="23">
        <v>45747</v>
      </c>
      <c r="I131" s="23">
        <v>45748</v>
      </c>
      <c r="J131" s="13" t="s">
        <v>27</v>
      </c>
      <c r="K131" s="18">
        <v>122</v>
      </c>
      <c r="L131" s="13">
        <v>530.5</v>
      </c>
      <c r="M131" s="13">
        <v>64721</v>
      </c>
      <c r="N131" s="18">
        <v>11</v>
      </c>
      <c r="O131" s="21">
        <v>2</v>
      </c>
      <c r="P131" s="27" t="str">
        <f>IF(AND(Late_Orders[[#This Row],[Order_Status]]="Late", Late_Orders[[#This Row],[Shipment_Delay]]&gt;=5),"Yes","No")</f>
        <v>No</v>
      </c>
    </row>
    <row r="132" spans="1:16" x14ac:dyDescent="0.25">
      <c r="A132" s="12" t="s">
        <v>321</v>
      </c>
      <c r="B132" s="13" t="s">
        <v>78</v>
      </c>
      <c r="C132" s="13" t="s">
        <v>43</v>
      </c>
      <c r="D132" s="13" t="s">
        <v>39</v>
      </c>
      <c r="E132" s="13" t="s">
        <v>57</v>
      </c>
      <c r="F132" s="23">
        <v>45712</v>
      </c>
      <c r="G132" s="23">
        <v>45717</v>
      </c>
      <c r="H132" s="23">
        <v>45718</v>
      </c>
      <c r="I132" s="23">
        <v>45723</v>
      </c>
      <c r="J132" s="13" t="s">
        <v>27</v>
      </c>
      <c r="K132" s="18">
        <v>170</v>
      </c>
      <c r="L132" s="13">
        <v>792.13</v>
      </c>
      <c r="M132" s="13">
        <v>134662.1</v>
      </c>
      <c r="N132" s="18">
        <v>6</v>
      </c>
      <c r="O132" s="21">
        <v>1</v>
      </c>
      <c r="P132" s="27" t="str">
        <f>IF(AND(Late_Orders[[#This Row],[Order_Status]]="Late", Late_Orders[[#This Row],[Shipment_Delay]]&gt;=5),"Yes","No")</f>
        <v>No</v>
      </c>
    </row>
    <row r="133" spans="1:16" x14ac:dyDescent="0.25">
      <c r="A133" s="12" t="s">
        <v>323</v>
      </c>
      <c r="B133" s="13" t="s">
        <v>42</v>
      </c>
      <c r="C133" s="13" t="s">
        <v>51</v>
      </c>
      <c r="D133" s="13" t="s">
        <v>22</v>
      </c>
      <c r="E133" s="13" t="s">
        <v>57</v>
      </c>
      <c r="F133" s="23">
        <v>45741</v>
      </c>
      <c r="G133" s="23">
        <v>45751</v>
      </c>
      <c r="H133" s="23">
        <v>45752</v>
      </c>
      <c r="I133" s="23">
        <v>45756</v>
      </c>
      <c r="J133" s="13" t="s">
        <v>27</v>
      </c>
      <c r="K133" s="18">
        <v>118</v>
      </c>
      <c r="L133" s="13">
        <v>423.06</v>
      </c>
      <c r="M133" s="13">
        <v>49921.08</v>
      </c>
      <c r="N133" s="18">
        <v>11</v>
      </c>
      <c r="O133" s="21">
        <v>1</v>
      </c>
      <c r="P133" s="27" t="str">
        <f>IF(AND(Late_Orders[[#This Row],[Order_Status]]="Late", Late_Orders[[#This Row],[Shipment_Delay]]&gt;=5),"Yes","No")</f>
        <v>No</v>
      </c>
    </row>
    <row r="134" spans="1:16" x14ac:dyDescent="0.25">
      <c r="A134" s="12" t="s">
        <v>325</v>
      </c>
      <c r="B134" s="13" t="s">
        <v>53</v>
      </c>
      <c r="C134" s="13" t="s">
        <v>34</v>
      </c>
      <c r="D134" s="13" t="s">
        <v>39</v>
      </c>
      <c r="E134" s="13" t="s">
        <v>31</v>
      </c>
      <c r="F134" s="23">
        <v>45692</v>
      </c>
      <c r="G134" s="23">
        <v>45707</v>
      </c>
      <c r="H134" s="23">
        <v>45709</v>
      </c>
      <c r="I134" s="23">
        <v>45712</v>
      </c>
      <c r="J134" s="13" t="s">
        <v>27</v>
      </c>
      <c r="K134" s="18">
        <v>198</v>
      </c>
      <c r="L134" s="13">
        <v>49.74</v>
      </c>
      <c r="M134" s="13">
        <v>9848.52</v>
      </c>
      <c r="N134" s="18">
        <v>17</v>
      </c>
      <c r="O134" s="21">
        <v>2</v>
      </c>
      <c r="P134" s="27" t="str">
        <f>IF(AND(Late_Orders[[#This Row],[Order_Status]]="Late", Late_Orders[[#This Row],[Shipment_Delay]]&gt;=5),"Yes","No")</f>
        <v>No</v>
      </c>
    </row>
    <row r="135" spans="1:16" x14ac:dyDescent="0.25">
      <c r="A135" s="12" t="s">
        <v>326</v>
      </c>
      <c r="B135" s="13" t="s">
        <v>24</v>
      </c>
      <c r="C135" s="13" t="s">
        <v>16</v>
      </c>
      <c r="D135" s="13" t="s">
        <v>39</v>
      </c>
      <c r="E135" s="13" t="s">
        <v>31</v>
      </c>
      <c r="F135" s="23">
        <v>45752</v>
      </c>
      <c r="G135" s="23">
        <v>45765</v>
      </c>
      <c r="H135" s="23">
        <v>45770</v>
      </c>
      <c r="I135" s="23">
        <v>45772</v>
      </c>
      <c r="J135" s="13" t="s">
        <v>27</v>
      </c>
      <c r="K135" s="18">
        <v>13</v>
      </c>
      <c r="L135" s="13">
        <v>390.53</v>
      </c>
      <c r="M135" s="13">
        <v>5076.8900000000003</v>
      </c>
      <c r="N135" s="18">
        <v>18</v>
      </c>
      <c r="O135" s="21">
        <v>5</v>
      </c>
      <c r="P135" s="27" t="str">
        <f>IF(AND(Late_Orders[[#This Row],[Order_Status]]="Late", Late_Orders[[#This Row],[Shipment_Delay]]&gt;=5),"Yes","No")</f>
        <v>Yes</v>
      </c>
    </row>
    <row r="136" spans="1:16" x14ac:dyDescent="0.25">
      <c r="A136" s="12" t="s">
        <v>328</v>
      </c>
      <c r="B136" s="13" t="s">
        <v>24</v>
      </c>
      <c r="C136" s="13" t="s">
        <v>25</v>
      </c>
      <c r="D136" s="13" t="s">
        <v>59</v>
      </c>
      <c r="E136" s="13" t="s">
        <v>63</v>
      </c>
      <c r="F136" s="23">
        <v>45761</v>
      </c>
      <c r="G136" s="23">
        <v>45764</v>
      </c>
      <c r="H136" s="23">
        <v>45766</v>
      </c>
      <c r="I136" s="23">
        <v>45769</v>
      </c>
      <c r="J136" s="13" t="s">
        <v>27</v>
      </c>
      <c r="K136" s="18">
        <v>157</v>
      </c>
      <c r="L136" s="13">
        <v>464.87</v>
      </c>
      <c r="M136" s="13">
        <v>72984.59</v>
      </c>
      <c r="N136" s="18">
        <v>5</v>
      </c>
      <c r="O136" s="21">
        <v>2</v>
      </c>
      <c r="P136" s="27" t="str">
        <f>IF(AND(Late_Orders[[#This Row],[Order_Status]]="Late", Late_Orders[[#This Row],[Shipment_Delay]]&gt;=5),"Yes","No")</f>
        <v>No</v>
      </c>
    </row>
    <row r="137" spans="1:16" x14ac:dyDescent="0.25">
      <c r="A137" s="12" t="s">
        <v>331</v>
      </c>
      <c r="B137" s="13" t="s">
        <v>42</v>
      </c>
      <c r="C137" s="13" t="s">
        <v>21</v>
      </c>
      <c r="D137" s="13" t="s">
        <v>17</v>
      </c>
      <c r="E137" s="13" t="s">
        <v>40</v>
      </c>
      <c r="F137" s="23">
        <v>45738</v>
      </c>
      <c r="G137" s="23">
        <v>45745</v>
      </c>
      <c r="H137" s="23">
        <v>45748</v>
      </c>
      <c r="I137" s="23">
        <v>45752</v>
      </c>
      <c r="J137" s="13" t="s">
        <v>27</v>
      </c>
      <c r="K137" s="18">
        <v>24</v>
      </c>
      <c r="L137" s="13">
        <v>544.08000000000004</v>
      </c>
      <c r="M137" s="13">
        <v>13057.92</v>
      </c>
      <c r="N137" s="18">
        <v>10</v>
      </c>
      <c r="O137" s="21">
        <v>3</v>
      </c>
      <c r="P137" s="27" t="str">
        <f>IF(AND(Late_Orders[[#This Row],[Order_Status]]="Late", Late_Orders[[#This Row],[Shipment_Delay]]&gt;=5),"Yes","No")</f>
        <v>No</v>
      </c>
    </row>
    <row r="138" spans="1:16" x14ac:dyDescent="0.25">
      <c r="A138" s="12" t="s">
        <v>333</v>
      </c>
      <c r="B138" s="13" t="s">
        <v>24</v>
      </c>
      <c r="C138" s="13" t="s">
        <v>25</v>
      </c>
      <c r="D138" s="13" t="s">
        <v>59</v>
      </c>
      <c r="E138" s="13" t="s">
        <v>63</v>
      </c>
      <c r="F138" s="23">
        <v>45759</v>
      </c>
      <c r="G138" s="23">
        <v>45770</v>
      </c>
      <c r="H138" s="23">
        <v>45771</v>
      </c>
      <c r="I138" s="23">
        <v>45773</v>
      </c>
      <c r="J138" s="13" t="s">
        <v>27</v>
      </c>
      <c r="K138" s="18">
        <v>59</v>
      </c>
      <c r="L138" s="13">
        <v>428.09</v>
      </c>
      <c r="M138" s="13">
        <v>25257.31</v>
      </c>
      <c r="N138" s="18">
        <v>12</v>
      </c>
      <c r="O138" s="21">
        <v>1</v>
      </c>
      <c r="P138" s="27" t="str">
        <f>IF(AND(Late_Orders[[#This Row],[Order_Status]]="Late", Late_Orders[[#This Row],[Shipment_Delay]]&gt;=5),"Yes","No")</f>
        <v>No</v>
      </c>
    </row>
    <row r="139" spans="1:16" x14ac:dyDescent="0.25">
      <c r="A139" s="12" t="s">
        <v>334</v>
      </c>
      <c r="B139" s="13" t="s">
        <v>29</v>
      </c>
      <c r="C139" s="13" t="s">
        <v>16</v>
      </c>
      <c r="D139" s="13" t="s">
        <v>39</v>
      </c>
      <c r="E139" s="13" t="s">
        <v>31</v>
      </c>
      <c r="F139" s="23">
        <v>45731</v>
      </c>
      <c r="G139" s="23">
        <v>45736</v>
      </c>
      <c r="H139" s="23">
        <v>45738</v>
      </c>
      <c r="I139" s="23">
        <v>45742</v>
      </c>
      <c r="J139" s="13" t="s">
        <v>27</v>
      </c>
      <c r="K139" s="18">
        <v>179</v>
      </c>
      <c r="L139" s="13">
        <v>651.48</v>
      </c>
      <c r="M139" s="13">
        <v>116614.92</v>
      </c>
      <c r="N139" s="18">
        <v>7</v>
      </c>
      <c r="O139" s="21">
        <v>2</v>
      </c>
      <c r="P139" s="27" t="str">
        <f>IF(AND(Late_Orders[[#This Row],[Order_Status]]="Late", Late_Orders[[#This Row],[Shipment_Delay]]&gt;=5),"Yes","No")</f>
        <v>No</v>
      </c>
    </row>
    <row r="140" spans="1:16" x14ac:dyDescent="0.25">
      <c r="A140" s="12" t="s">
        <v>345</v>
      </c>
      <c r="B140" s="13" t="s">
        <v>42</v>
      </c>
      <c r="C140" s="13" t="s">
        <v>51</v>
      </c>
      <c r="D140" s="13" t="s">
        <v>59</v>
      </c>
      <c r="E140" s="13" t="s">
        <v>26</v>
      </c>
      <c r="F140" s="23">
        <v>45711</v>
      </c>
      <c r="G140" s="23">
        <v>45719</v>
      </c>
      <c r="H140" s="23">
        <v>45721</v>
      </c>
      <c r="I140" s="23">
        <v>45723</v>
      </c>
      <c r="J140" s="13" t="s">
        <v>27</v>
      </c>
      <c r="K140" s="18">
        <v>23</v>
      </c>
      <c r="L140" s="13">
        <v>28.94</v>
      </c>
      <c r="M140" s="13">
        <v>665.62</v>
      </c>
      <c r="N140" s="18">
        <v>10</v>
      </c>
      <c r="O140" s="21">
        <v>2</v>
      </c>
      <c r="P140" s="27" t="str">
        <f>IF(AND(Late_Orders[[#This Row],[Order_Status]]="Late", Late_Orders[[#This Row],[Shipment_Delay]]&gt;=5),"Yes","No")</f>
        <v>No</v>
      </c>
    </row>
    <row r="141" spans="1:16" x14ac:dyDescent="0.25">
      <c r="A141" s="12" t="s">
        <v>346</v>
      </c>
      <c r="B141" s="13" t="s">
        <v>38</v>
      </c>
      <c r="C141" s="13" t="s">
        <v>21</v>
      </c>
      <c r="D141" s="13" t="s">
        <v>39</v>
      </c>
      <c r="E141" s="13" t="s">
        <v>31</v>
      </c>
      <c r="F141" s="23">
        <v>45663</v>
      </c>
      <c r="G141" s="23">
        <v>45666</v>
      </c>
      <c r="H141" s="23">
        <v>45671</v>
      </c>
      <c r="I141" s="23">
        <v>45675</v>
      </c>
      <c r="J141" s="13" t="s">
        <v>27</v>
      </c>
      <c r="K141" s="18">
        <v>165</v>
      </c>
      <c r="L141" s="13">
        <v>610.04999999999995</v>
      </c>
      <c r="M141" s="13">
        <v>100658.25</v>
      </c>
      <c r="N141" s="18">
        <v>8</v>
      </c>
      <c r="O141" s="21">
        <v>5</v>
      </c>
      <c r="P141" s="27" t="str">
        <f>IF(AND(Late_Orders[[#This Row],[Order_Status]]="Late", Late_Orders[[#This Row],[Shipment_Delay]]&gt;=5),"Yes","No")</f>
        <v>Yes</v>
      </c>
    </row>
    <row r="142" spans="1:16" x14ac:dyDescent="0.25">
      <c r="A142" s="12" t="s">
        <v>348</v>
      </c>
      <c r="B142" s="13" t="s">
        <v>45</v>
      </c>
      <c r="C142" s="13" t="s">
        <v>51</v>
      </c>
      <c r="D142" s="13" t="s">
        <v>22</v>
      </c>
      <c r="E142" s="13" t="s">
        <v>31</v>
      </c>
      <c r="F142" s="23">
        <v>45699</v>
      </c>
      <c r="G142" s="23">
        <v>45708</v>
      </c>
      <c r="H142" s="23">
        <v>45710</v>
      </c>
      <c r="I142" s="23">
        <v>45711</v>
      </c>
      <c r="J142" s="13" t="s">
        <v>27</v>
      </c>
      <c r="K142" s="18">
        <v>116</v>
      </c>
      <c r="L142" s="13">
        <v>624.52</v>
      </c>
      <c r="M142" s="13">
        <v>72444.320000000007</v>
      </c>
      <c r="N142" s="18">
        <v>11</v>
      </c>
      <c r="O142" s="21">
        <v>2</v>
      </c>
      <c r="P142" s="27" t="str">
        <f>IF(AND(Late_Orders[[#This Row],[Order_Status]]="Late", Late_Orders[[#This Row],[Shipment_Delay]]&gt;=5),"Yes","No")</f>
        <v>No</v>
      </c>
    </row>
    <row r="143" spans="1:16" x14ac:dyDescent="0.25">
      <c r="A143" s="12" t="s">
        <v>351</v>
      </c>
      <c r="B143" s="13" t="s">
        <v>29</v>
      </c>
      <c r="C143" s="13" t="s">
        <v>46</v>
      </c>
      <c r="D143" s="13" t="s">
        <v>39</v>
      </c>
      <c r="E143" s="13" t="s">
        <v>57</v>
      </c>
      <c r="F143" s="23">
        <v>45753</v>
      </c>
      <c r="G143" s="23">
        <v>45768</v>
      </c>
      <c r="H143" s="23">
        <v>45773</v>
      </c>
      <c r="I143" s="23">
        <v>45776</v>
      </c>
      <c r="J143" s="13" t="s">
        <v>27</v>
      </c>
      <c r="K143" s="18">
        <v>35</v>
      </c>
      <c r="L143" s="13">
        <v>659.14</v>
      </c>
      <c r="M143" s="13">
        <v>23069.9</v>
      </c>
      <c r="N143" s="18">
        <v>20</v>
      </c>
      <c r="O143" s="21">
        <v>5</v>
      </c>
      <c r="P143" s="27" t="str">
        <f>IF(AND(Late_Orders[[#This Row],[Order_Status]]="Late", Late_Orders[[#This Row],[Shipment_Delay]]&gt;=5),"Yes","No")</f>
        <v>Yes</v>
      </c>
    </row>
    <row r="144" spans="1:16" x14ac:dyDescent="0.25">
      <c r="A144" s="12" t="s">
        <v>357</v>
      </c>
      <c r="B144" s="13" t="s">
        <v>48</v>
      </c>
      <c r="C144" s="13" t="s">
        <v>30</v>
      </c>
      <c r="D144" s="13" t="s">
        <v>22</v>
      </c>
      <c r="E144" s="13" t="s">
        <v>40</v>
      </c>
      <c r="F144" s="23">
        <v>45683</v>
      </c>
      <c r="G144" s="23">
        <v>45690</v>
      </c>
      <c r="H144" s="23">
        <v>45692</v>
      </c>
      <c r="I144" s="23">
        <v>45695</v>
      </c>
      <c r="J144" s="13" t="s">
        <v>27</v>
      </c>
      <c r="K144" s="18">
        <v>67</v>
      </c>
      <c r="L144" s="13">
        <v>402.38</v>
      </c>
      <c r="M144" s="13">
        <v>26959.46</v>
      </c>
      <c r="N144" s="18">
        <v>9</v>
      </c>
      <c r="O144" s="21">
        <v>2</v>
      </c>
      <c r="P144" s="27" t="str">
        <f>IF(AND(Late_Orders[[#This Row],[Order_Status]]="Late", Late_Orders[[#This Row],[Shipment_Delay]]&gt;=5),"Yes","No")</f>
        <v>No</v>
      </c>
    </row>
    <row r="145" spans="1:16" x14ac:dyDescent="0.25">
      <c r="A145" s="12" t="s">
        <v>359</v>
      </c>
      <c r="B145" s="13" t="s">
        <v>45</v>
      </c>
      <c r="C145" s="13" t="s">
        <v>34</v>
      </c>
      <c r="D145" s="13" t="s">
        <v>39</v>
      </c>
      <c r="E145" s="13" t="s">
        <v>18</v>
      </c>
      <c r="F145" s="23">
        <v>45658</v>
      </c>
      <c r="G145" s="23">
        <v>45673</v>
      </c>
      <c r="H145" s="23">
        <v>45676</v>
      </c>
      <c r="I145" s="23">
        <v>45680</v>
      </c>
      <c r="J145" s="13" t="s">
        <v>27</v>
      </c>
      <c r="K145" s="18">
        <v>191</v>
      </c>
      <c r="L145" s="13">
        <v>271.77</v>
      </c>
      <c r="M145" s="13">
        <v>51908.07</v>
      </c>
      <c r="N145" s="18">
        <v>18</v>
      </c>
      <c r="O145" s="21">
        <v>3</v>
      </c>
      <c r="P145" s="27" t="str">
        <f>IF(AND(Late_Orders[[#This Row],[Order_Status]]="Late", Late_Orders[[#This Row],[Shipment_Delay]]&gt;=5),"Yes","No")</f>
        <v>No</v>
      </c>
    </row>
    <row r="146" spans="1:16" x14ac:dyDescent="0.25">
      <c r="A146" s="12" t="s">
        <v>361</v>
      </c>
      <c r="B146" s="13" t="s">
        <v>42</v>
      </c>
      <c r="C146" s="13" t="s">
        <v>51</v>
      </c>
      <c r="D146" s="13" t="s">
        <v>39</v>
      </c>
      <c r="E146" s="13" t="s">
        <v>40</v>
      </c>
      <c r="F146" s="23">
        <v>45753</v>
      </c>
      <c r="G146" s="23">
        <v>45757</v>
      </c>
      <c r="H146" s="23">
        <v>45759</v>
      </c>
      <c r="I146" s="23">
        <v>45760</v>
      </c>
      <c r="J146" s="13" t="s">
        <v>27</v>
      </c>
      <c r="K146" s="18">
        <v>168</v>
      </c>
      <c r="L146" s="13">
        <v>699.67</v>
      </c>
      <c r="M146" s="13">
        <v>117544.56</v>
      </c>
      <c r="N146" s="18">
        <v>6</v>
      </c>
      <c r="O146" s="21">
        <v>2</v>
      </c>
      <c r="P146" s="27" t="str">
        <f>IF(AND(Late_Orders[[#This Row],[Order_Status]]="Late", Late_Orders[[#This Row],[Shipment_Delay]]&gt;=5),"Yes","No")</f>
        <v>No</v>
      </c>
    </row>
    <row r="147" spans="1:16" x14ac:dyDescent="0.25">
      <c r="A147" s="12" t="s">
        <v>365</v>
      </c>
      <c r="B147" s="13" t="s">
        <v>56</v>
      </c>
      <c r="C147" s="13" t="s">
        <v>25</v>
      </c>
      <c r="D147" s="13" t="s">
        <v>22</v>
      </c>
      <c r="E147" s="13" t="s">
        <v>31</v>
      </c>
      <c r="F147" s="23">
        <v>45676</v>
      </c>
      <c r="G147" s="23">
        <v>45680</v>
      </c>
      <c r="H147" s="23">
        <v>45683</v>
      </c>
      <c r="I147" s="23">
        <v>45685</v>
      </c>
      <c r="J147" s="13" t="s">
        <v>27</v>
      </c>
      <c r="K147" s="18">
        <v>106</v>
      </c>
      <c r="L147" s="13">
        <v>443.74</v>
      </c>
      <c r="M147" s="13">
        <v>47036.44</v>
      </c>
      <c r="N147" s="18">
        <v>7</v>
      </c>
      <c r="O147" s="21">
        <v>3</v>
      </c>
      <c r="P147" s="27" t="str">
        <f>IF(AND(Late_Orders[[#This Row],[Order_Status]]="Late", Late_Orders[[#This Row],[Shipment_Delay]]&gt;=5),"Yes","No")</f>
        <v>No</v>
      </c>
    </row>
    <row r="148" spans="1:16" x14ac:dyDescent="0.25">
      <c r="A148" s="12" t="s">
        <v>366</v>
      </c>
      <c r="B148" s="13" t="s">
        <v>78</v>
      </c>
      <c r="C148" s="13" t="s">
        <v>16</v>
      </c>
      <c r="D148" s="13" t="s">
        <v>35</v>
      </c>
      <c r="E148" s="13" t="s">
        <v>31</v>
      </c>
      <c r="F148" s="23">
        <v>45709</v>
      </c>
      <c r="G148" s="23">
        <v>45719</v>
      </c>
      <c r="H148" s="23">
        <v>45721</v>
      </c>
      <c r="I148" s="23">
        <v>45726</v>
      </c>
      <c r="J148" s="13" t="s">
        <v>27</v>
      </c>
      <c r="K148" s="18">
        <v>123</v>
      </c>
      <c r="L148" s="13">
        <v>100.09</v>
      </c>
      <c r="M148" s="13">
        <v>12311.07</v>
      </c>
      <c r="N148" s="18">
        <v>12</v>
      </c>
      <c r="O148" s="21">
        <v>2</v>
      </c>
      <c r="P148" s="27" t="str">
        <f>IF(AND(Late_Orders[[#This Row],[Order_Status]]="Late", Late_Orders[[#This Row],[Shipment_Delay]]&gt;=5),"Yes","No")</f>
        <v>No</v>
      </c>
    </row>
    <row r="149" spans="1:16" x14ac:dyDescent="0.25">
      <c r="A149" s="12" t="s">
        <v>368</v>
      </c>
      <c r="B149" s="13" t="s">
        <v>24</v>
      </c>
      <c r="C149" s="13" t="s">
        <v>16</v>
      </c>
      <c r="D149" s="13" t="s">
        <v>35</v>
      </c>
      <c r="E149" s="13" t="s">
        <v>18</v>
      </c>
      <c r="F149" s="23">
        <v>45666</v>
      </c>
      <c r="G149" s="23">
        <v>45672</v>
      </c>
      <c r="H149" s="23">
        <v>45675</v>
      </c>
      <c r="I149" s="23">
        <v>45679</v>
      </c>
      <c r="J149" s="13" t="s">
        <v>27</v>
      </c>
      <c r="K149" s="18">
        <v>28</v>
      </c>
      <c r="L149" s="13">
        <v>770.74</v>
      </c>
      <c r="M149" s="13">
        <v>21580.720000000001</v>
      </c>
      <c r="N149" s="18">
        <v>9</v>
      </c>
      <c r="O149" s="21">
        <v>3</v>
      </c>
      <c r="P149" s="27" t="str">
        <f>IF(AND(Late_Orders[[#This Row],[Order_Status]]="Late", Late_Orders[[#This Row],[Shipment_Delay]]&gt;=5),"Yes","No")</f>
        <v>No</v>
      </c>
    </row>
    <row r="150" spans="1:16" x14ac:dyDescent="0.25">
      <c r="A150" s="12" t="s">
        <v>369</v>
      </c>
      <c r="B150" s="13" t="s">
        <v>38</v>
      </c>
      <c r="C150" s="13" t="s">
        <v>21</v>
      </c>
      <c r="D150" s="13" t="s">
        <v>22</v>
      </c>
      <c r="E150" s="13" t="s">
        <v>57</v>
      </c>
      <c r="F150" s="23">
        <v>45664</v>
      </c>
      <c r="G150" s="23">
        <v>45669</v>
      </c>
      <c r="H150" s="23">
        <v>45671</v>
      </c>
      <c r="I150" s="23">
        <v>45675</v>
      </c>
      <c r="J150" s="13" t="s">
        <v>27</v>
      </c>
      <c r="K150" s="18">
        <v>106</v>
      </c>
      <c r="L150" s="13">
        <v>429.27</v>
      </c>
      <c r="M150" s="13">
        <v>45502.62</v>
      </c>
      <c r="N150" s="18">
        <v>7</v>
      </c>
      <c r="O150" s="21">
        <v>2</v>
      </c>
      <c r="P150" s="27" t="str">
        <f>IF(AND(Late_Orders[[#This Row],[Order_Status]]="Late", Late_Orders[[#This Row],[Shipment_Delay]]&gt;=5),"Yes","No")</f>
        <v>No</v>
      </c>
    </row>
    <row r="151" spans="1:16" x14ac:dyDescent="0.25">
      <c r="A151" s="12" t="s">
        <v>372</v>
      </c>
      <c r="B151" s="13" t="s">
        <v>48</v>
      </c>
      <c r="C151" s="13" t="s">
        <v>46</v>
      </c>
      <c r="D151" s="13" t="s">
        <v>39</v>
      </c>
      <c r="E151" s="13" t="s">
        <v>57</v>
      </c>
      <c r="F151" s="23">
        <v>45706</v>
      </c>
      <c r="G151" s="23">
        <v>45721</v>
      </c>
      <c r="H151" s="23">
        <v>45724</v>
      </c>
      <c r="I151" s="23">
        <v>45727</v>
      </c>
      <c r="J151" s="13" t="s">
        <v>27</v>
      </c>
      <c r="K151" s="18">
        <v>129</v>
      </c>
      <c r="L151" s="13">
        <v>302.27</v>
      </c>
      <c r="M151" s="13">
        <v>38992.83</v>
      </c>
      <c r="N151" s="18">
        <v>18</v>
      </c>
      <c r="O151" s="21">
        <v>3</v>
      </c>
      <c r="P151" s="27" t="str">
        <f>IF(AND(Late_Orders[[#This Row],[Order_Status]]="Late", Late_Orders[[#This Row],[Shipment_Delay]]&gt;=5),"Yes","No")</f>
        <v>No</v>
      </c>
    </row>
    <row r="152" spans="1:16" x14ac:dyDescent="0.25">
      <c r="A152" s="12" t="s">
        <v>375</v>
      </c>
      <c r="B152" s="13" t="s">
        <v>48</v>
      </c>
      <c r="C152" s="13" t="s">
        <v>51</v>
      </c>
      <c r="D152" s="13" t="s">
        <v>59</v>
      </c>
      <c r="E152" s="13" t="s">
        <v>63</v>
      </c>
      <c r="F152" s="23">
        <v>45680</v>
      </c>
      <c r="G152" s="23">
        <v>45686</v>
      </c>
      <c r="H152" s="23">
        <v>45688</v>
      </c>
      <c r="I152" s="23">
        <v>45691</v>
      </c>
      <c r="J152" s="13" t="s">
        <v>27</v>
      </c>
      <c r="K152" s="18">
        <v>183</v>
      </c>
      <c r="L152" s="13">
        <v>314.58</v>
      </c>
      <c r="M152" s="13">
        <v>57568.14</v>
      </c>
      <c r="N152" s="18">
        <v>8</v>
      </c>
      <c r="O152" s="21">
        <v>2</v>
      </c>
      <c r="P152" s="27" t="str">
        <f>IF(AND(Late_Orders[[#This Row],[Order_Status]]="Late", Late_Orders[[#This Row],[Shipment_Delay]]&gt;=5),"Yes","No")</f>
        <v>No</v>
      </c>
    </row>
    <row r="153" spans="1:16" x14ac:dyDescent="0.25">
      <c r="A153" s="12" t="s">
        <v>376</v>
      </c>
      <c r="B153" s="13" t="s">
        <v>78</v>
      </c>
      <c r="C153" s="13" t="s">
        <v>30</v>
      </c>
      <c r="D153" s="13" t="s">
        <v>35</v>
      </c>
      <c r="E153" s="13" t="s">
        <v>31</v>
      </c>
      <c r="F153" s="23">
        <v>45730</v>
      </c>
      <c r="G153" s="23">
        <v>45735</v>
      </c>
      <c r="H153" s="23">
        <v>45737</v>
      </c>
      <c r="I153" s="23">
        <v>45739</v>
      </c>
      <c r="J153" s="13" t="s">
        <v>27</v>
      </c>
      <c r="K153" s="18">
        <v>131</v>
      </c>
      <c r="L153" s="13">
        <v>467.67</v>
      </c>
      <c r="M153" s="13">
        <v>61264.77</v>
      </c>
      <c r="N153" s="18">
        <v>7</v>
      </c>
      <c r="O153" s="21">
        <v>2</v>
      </c>
      <c r="P153" s="27" t="str">
        <f>IF(AND(Late_Orders[[#This Row],[Order_Status]]="Late", Late_Orders[[#This Row],[Shipment_Delay]]&gt;=5),"Yes","No")</f>
        <v>No</v>
      </c>
    </row>
    <row r="154" spans="1:16" x14ac:dyDescent="0.25">
      <c r="A154" s="12" t="s">
        <v>379</v>
      </c>
      <c r="B154" s="13" t="s">
        <v>78</v>
      </c>
      <c r="C154" s="13" t="s">
        <v>43</v>
      </c>
      <c r="D154" s="13" t="s">
        <v>39</v>
      </c>
      <c r="E154" s="13" t="s">
        <v>40</v>
      </c>
      <c r="F154" s="23">
        <v>45667</v>
      </c>
      <c r="G154" s="23">
        <v>45675</v>
      </c>
      <c r="H154" s="23">
        <v>45678</v>
      </c>
      <c r="I154" s="23">
        <v>45682</v>
      </c>
      <c r="J154" s="13" t="s">
        <v>27</v>
      </c>
      <c r="K154" s="18">
        <v>91</v>
      </c>
      <c r="L154" s="13">
        <v>266.97000000000003</v>
      </c>
      <c r="M154" s="13">
        <v>24294.27</v>
      </c>
      <c r="N154" s="18">
        <v>11</v>
      </c>
      <c r="O154" s="21">
        <v>3</v>
      </c>
      <c r="P154" s="27" t="str">
        <f>IF(AND(Late_Orders[[#This Row],[Order_Status]]="Late", Late_Orders[[#This Row],[Shipment_Delay]]&gt;=5),"Yes","No")</f>
        <v>No</v>
      </c>
    </row>
    <row r="155" spans="1:16" x14ac:dyDescent="0.25">
      <c r="A155" s="12" t="s">
        <v>383</v>
      </c>
      <c r="B155" s="13" t="s">
        <v>42</v>
      </c>
      <c r="C155" s="13" t="s">
        <v>46</v>
      </c>
      <c r="D155" s="13" t="s">
        <v>59</v>
      </c>
      <c r="E155" s="13" t="s">
        <v>31</v>
      </c>
      <c r="F155" s="23">
        <v>45743</v>
      </c>
      <c r="G155" s="23">
        <v>45756</v>
      </c>
      <c r="H155" s="23">
        <v>45759</v>
      </c>
      <c r="I155" s="23">
        <v>45762</v>
      </c>
      <c r="J155" s="13" t="s">
        <v>27</v>
      </c>
      <c r="K155" s="18">
        <v>72</v>
      </c>
      <c r="L155" s="13">
        <v>190.09</v>
      </c>
      <c r="M155" s="13">
        <v>13686.48</v>
      </c>
      <c r="N155" s="18">
        <v>16</v>
      </c>
      <c r="O155" s="21">
        <v>3</v>
      </c>
      <c r="P155" s="27" t="str">
        <f>IF(AND(Late_Orders[[#This Row],[Order_Status]]="Late", Late_Orders[[#This Row],[Shipment_Delay]]&gt;=5),"Yes","No")</f>
        <v>No</v>
      </c>
    </row>
    <row r="156" spans="1:16" x14ac:dyDescent="0.25">
      <c r="A156" s="12" t="s">
        <v>385</v>
      </c>
      <c r="B156" s="13" t="s">
        <v>45</v>
      </c>
      <c r="C156" s="13" t="s">
        <v>43</v>
      </c>
      <c r="D156" s="13" t="s">
        <v>39</v>
      </c>
      <c r="E156" s="13" t="s">
        <v>31</v>
      </c>
      <c r="F156" s="23">
        <v>45706</v>
      </c>
      <c r="G156" s="23">
        <v>45710</v>
      </c>
      <c r="H156" s="23">
        <v>45715</v>
      </c>
      <c r="I156" s="23">
        <v>45719</v>
      </c>
      <c r="J156" s="13" t="s">
        <v>27</v>
      </c>
      <c r="K156" s="18">
        <v>152</v>
      </c>
      <c r="L156" s="13">
        <v>558.55999999999995</v>
      </c>
      <c r="M156" s="13">
        <v>84901.119999999995</v>
      </c>
      <c r="N156" s="18">
        <v>9</v>
      </c>
      <c r="O156" s="21">
        <v>5</v>
      </c>
      <c r="P156" s="27" t="str">
        <f>IF(AND(Late_Orders[[#This Row],[Order_Status]]="Late", Late_Orders[[#This Row],[Shipment_Delay]]&gt;=5),"Yes","No")</f>
        <v>Yes</v>
      </c>
    </row>
    <row r="157" spans="1:16" x14ac:dyDescent="0.25">
      <c r="A157" s="12" t="s">
        <v>397</v>
      </c>
      <c r="B157" s="13" t="s">
        <v>78</v>
      </c>
      <c r="C157" s="13" t="s">
        <v>43</v>
      </c>
      <c r="D157" s="13" t="s">
        <v>17</v>
      </c>
      <c r="E157" s="13" t="s">
        <v>63</v>
      </c>
      <c r="F157" s="23">
        <v>45775</v>
      </c>
      <c r="G157" s="23">
        <v>45778</v>
      </c>
      <c r="H157" s="23">
        <v>45783</v>
      </c>
      <c r="I157" s="23">
        <v>45788</v>
      </c>
      <c r="J157" s="13" t="s">
        <v>27</v>
      </c>
      <c r="K157" s="18">
        <v>112</v>
      </c>
      <c r="L157" s="13">
        <v>108.95</v>
      </c>
      <c r="M157" s="13">
        <v>12202.4</v>
      </c>
      <c r="N157" s="18">
        <v>8</v>
      </c>
      <c r="O157" s="21">
        <v>5</v>
      </c>
      <c r="P157" s="27" t="str">
        <f>IF(AND(Late_Orders[[#This Row],[Order_Status]]="Late", Late_Orders[[#This Row],[Shipment_Delay]]&gt;=5),"Yes","No")</f>
        <v>Yes</v>
      </c>
    </row>
    <row r="158" spans="1:16" x14ac:dyDescent="0.25">
      <c r="A158" s="12" t="s">
        <v>401</v>
      </c>
      <c r="B158" s="13" t="s">
        <v>45</v>
      </c>
      <c r="C158" s="13" t="s">
        <v>43</v>
      </c>
      <c r="D158" s="13" t="s">
        <v>59</v>
      </c>
      <c r="E158" s="13" t="s">
        <v>40</v>
      </c>
      <c r="F158" s="23">
        <v>45697</v>
      </c>
      <c r="G158" s="23">
        <v>45704</v>
      </c>
      <c r="H158" s="23">
        <v>45709</v>
      </c>
      <c r="I158" s="23">
        <v>45713</v>
      </c>
      <c r="J158" s="13" t="s">
        <v>27</v>
      </c>
      <c r="K158" s="18">
        <v>180</v>
      </c>
      <c r="L158" s="13">
        <v>97.01</v>
      </c>
      <c r="M158" s="13">
        <v>17461.8</v>
      </c>
      <c r="N158" s="18">
        <v>12</v>
      </c>
      <c r="O158" s="21">
        <v>5</v>
      </c>
      <c r="P158" s="27" t="str">
        <f>IF(AND(Late_Orders[[#This Row],[Order_Status]]="Late", Late_Orders[[#This Row],[Shipment_Delay]]&gt;=5),"Yes","No")</f>
        <v>Yes</v>
      </c>
    </row>
    <row r="159" spans="1:16" x14ac:dyDescent="0.25">
      <c r="A159" s="12" t="s">
        <v>402</v>
      </c>
      <c r="B159" s="13" t="s">
        <v>42</v>
      </c>
      <c r="C159" s="13" t="s">
        <v>34</v>
      </c>
      <c r="D159" s="13" t="s">
        <v>39</v>
      </c>
      <c r="E159" s="13" t="s">
        <v>26</v>
      </c>
      <c r="F159" s="23">
        <v>45714</v>
      </c>
      <c r="G159" s="23">
        <v>45729</v>
      </c>
      <c r="H159" s="23">
        <v>45734</v>
      </c>
      <c r="I159" s="23">
        <v>45737</v>
      </c>
      <c r="J159" s="13" t="s">
        <v>27</v>
      </c>
      <c r="K159" s="18">
        <v>111</v>
      </c>
      <c r="L159" s="13">
        <v>520.16</v>
      </c>
      <c r="M159" s="13">
        <v>57737.760000000002</v>
      </c>
      <c r="N159" s="18">
        <v>20</v>
      </c>
      <c r="O159" s="21">
        <v>5</v>
      </c>
      <c r="P159" s="27" t="str">
        <f>IF(AND(Late_Orders[[#This Row],[Order_Status]]="Late", Late_Orders[[#This Row],[Shipment_Delay]]&gt;=5),"Yes","No")</f>
        <v>Yes</v>
      </c>
    </row>
    <row r="160" spans="1:16" x14ac:dyDescent="0.25">
      <c r="A160" s="12" t="s">
        <v>403</v>
      </c>
      <c r="B160" s="13" t="s">
        <v>15</v>
      </c>
      <c r="C160" s="13" t="s">
        <v>43</v>
      </c>
      <c r="D160" s="13" t="s">
        <v>35</v>
      </c>
      <c r="E160" s="13" t="s">
        <v>57</v>
      </c>
      <c r="F160" s="23">
        <v>45774</v>
      </c>
      <c r="G160" s="23">
        <v>45783</v>
      </c>
      <c r="H160" s="23">
        <v>45786</v>
      </c>
      <c r="I160" s="23">
        <v>45790</v>
      </c>
      <c r="J160" s="13" t="s">
        <v>27</v>
      </c>
      <c r="K160" s="18">
        <v>100</v>
      </c>
      <c r="L160" s="13">
        <v>700.55</v>
      </c>
      <c r="M160" s="13">
        <v>70055</v>
      </c>
      <c r="N160" s="18">
        <v>12</v>
      </c>
      <c r="O160" s="21">
        <v>3</v>
      </c>
      <c r="P160" s="27" t="str">
        <f>IF(AND(Late_Orders[[#This Row],[Order_Status]]="Late", Late_Orders[[#This Row],[Shipment_Delay]]&gt;=5),"Yes","No")</f>
        <v>No</v>
      </c>
    </row>
    <row r="161" spans="1:16" x14ac:dyDescent="0.25">
      <c r="A161" s="12" t="s">
        <v>404</v>
      </c>
      <c r="B161" s="13" t="s">
        <v>29</v>
      </c>
      <c r="C161" s="13" t="s">
        <v>43</v>
      </c>
      <c r="D161" s="13" t="s">
        <v>22</v>
      </c>
      <c r="E161" s="13" t="s">
        <v>26</v>
      </c>
      <c r="F161" s="23">
        <v>45748</v>
      </c>
      <c r="G161" s="23">
        <v>45759</v>
      </c>
      <c r="H161" s="23">
        <v>45760</v>
      </c>
      <c r="I161" s="23">
        <v>45762</v>
      </c>
      <c r="J161" s="13" t="s">
        <v>27</v>
      </c>
      <c r="K161" s="18">
        <v>139</v>
      </c>
      <c r="L161" s="13">
        <v>749.24</v>
      </c>
      <c r="M161" s="13">
        <v>104144.36</v>
      </c>
      <c r="N161" s="18">
        <v>12</v>
      </c>
      <c r="O161" s="21">
        <v>1</v>
      </c>
      <c r="P161" s="27" t="str">
        <f>IF(AND(Late_Orders[[#This Row],[Order_Status]]="Late", Late_Orders[[#This Row],[Shipment_Delay]]&gt;=5),"Yes","No")</f>
        <v>No</v>
      </c>
    </row>
    <row r="162" spans="1:16" x14ac:dyDescent="0.25">
      <c r="A162" s="12" t="s">
        <v>407</v>
      </c>
      <c r="B162" s="13" t="s">
        <v>48</v>
      </c>
      <c r="C162" s="13" t="s">
        <v>34</v>
      </c>
      <c r="D162" s="13" t="s">
        <v>22</v>
      </c>
      <c r="E162" s="13" t="s">
        <v>40</v>
      </c>
      <c r="F162" s="23">
        <v>45765</v>
      </c>
      <c r="G162" s="23">
        <v>45772</v>
      </c>
      <c r="H162" s="23">
        <v>45775</v>
      </c>
      <c r="I162" s="23">
        <v>45776</v>
      </c>
      <c r="J162" s="13" t="s">
        <v>27</v>
      </c>
      <c r="K162" s="18">
        <v>103</v>
      </c>
      <c r="L162" s="13">
        <v>56.46</v>
      </c>
      <c r="M162" s="13">
        <v>5815.38</v>
      </c>
      <c r="N162" s="18">
        <v>10</v>
      </c>
      <c r="O162" s="21">
        <v>3</v>
      </c>
      <c r="P162" s="27" t="str">
        <f>IF(AND(Late_Orders[[#This Row],[Order_Status]]="Late", Late_Orders[[#This Row],[Shipment_Delay]]&gt;=5),"Yes","No")</f>
        <v>No</v>
      </c>
    </row>
    <row r="163" spans="1:16" x14ac:dyDescent="0.25">
      <c r="A163" s="12" t="s">
        <v>409</v>
      </c>
      <c r="B163" s="13" t="s">
        <v>38</v>
      </c>
      <c r="C163" s="13" t="s">
        <v>21</v>
      </c>
      <c r="D163" s="13" t="s">
        <v>59</v>
      </c>
      <c r="E163" s="13" t="s">
        <v>18</v>
      </c>
      <c r="F163" s="23">
        <v>45686</v>
      </c>
      <c r="G163" s="23">
        <v>45693</v>
      </c>
      <c r="H163" s="23">
        <v>45695</v>
      </c>
      <c r="I163" s="23">
        <v>45698</v>
      </c>
      <c r="J163" s="13" t="s">
        <v>27</v>
      </c>
      <c r="K163" s="18">
        <v>186</v>
      </c>
      <c r="L163" s="13">
        <v>551.69000000000005</v>
      </c>
      <c r="M163" s="13">
        <v>102614.34</v>
      </c>
      <c r="N163" s="18">
        <v>9</v>
      </c>
      <c r="O163" s="21">
        <v>2</v>
      </c>
      <c r="P163" s="27" t="str">
        <f>IF(AND(Late_Orders[[#This Row],[Order_Status]]="Late", Late_Orders[[#This Row],[Shipment_Delay]]&gt;=5),"Yes","No")</f>
        <v>No</v>
      </c>
    </row>
    <row r="164" spans="1:16" x14ac:dyDescent="0.25">
      <c r="A164" s="12" t="s">
        <v>410</v>
      </c>
      <c r="B164" s="13" t="s">
        <v>42</v>
      </c>
      <c r="C164" s="13" t="s">
        <v>51</v>
      </c>
      <c r="D164" s="13" t="s">
        <v>17</v>
      </c>
      <c r="E164" s="13" t="s">
        <v>40</v>
      </c>
      <c r="F164" s="23">
        <v>45690</v>
      </c>
      <c r="G164" s="23">
        <v>45696</v>
      </c>
      <c r="H164" s="23">
        <v>45697</v>
      </c>
      <c r="I164" s="23">
        <v>45700</v>
      </c>
      <c r="J164" s="13" t="s">
        <v>27</v>
      </c>
      <c r="K164" s="18">
        <v>164</v>
      </c>
      <c r="L164" s="13">
        <v>346.62</v>
      </c>
      <c r="M164" s="13">
        <v>56845.68</v>
      </c>
      <c r="N164" s="18">
        <v>7</v>
      </c>
      <c r="O164" s="21">
        <v>1</v>
      </c>
      <c r="P164" s="27" t="str">
        <f>IF(AND(Late_Orders[[#This Row],[Order_Status]]="Late", Late_Orders[[#This Row],[Shipment_Delay]]&gt;=5),"Yes","No")</f>
        <v>No</v>
      </c>
    </row>
    <row r="165" spans="1:16" x14ac:dyDescent="0.25">
      <c r="A165" s="12" t="s">
        <v>411</v>
      </c>
      <c r="B165" s="13" t="s">
        <v>53</v>
      </c>
      <c r="C165" s="13" t="s">
        <v>16</v>
      </c>
      <c r="D165" s="13" t="s">
        <v>59</v>
      </c>
      <c r="E165" s="13" t="s">
        <v>57</v>
      </c>
      <c r="F165" s="23">
        <v>45765</v>
      </c>
      <c r="G165" s="23">
        <v>45773</v>
      </c>
      <c r="H165" s="23">
        <v>45775</v>
      </c>
      <c r="I165" s="23">
        <v>45780</v>
      </c>
      <c r="J165" s="13" t="s">
        <v>27</v>
      </c>
      <c r="K165" s="18">
        <v>81</v>
      </c>
      <c r="L165" s="13">
        <v>586.48</v>
      </c>
      <c r="M165" s="13">
        <v>47504.88</v>
      </c>
      <c r="N165" s="18">
        <v>10</v>
      </c>
      <c r="O165" s="21">
        <v>2</v>
      </c>
      <c r="P165" s="27" t="str">
        <f>IF(AND(Late_Orders[[#This Row],[Order_Status]]="Late", Late_Orders[[#This Row],[Shipment_Delay]]&gt;=5),"Yes","No")</f>
        <v>No</v>
      </c>
    </row>
    <row r="166" spans="1:16" x14ac:dyDescent="0.25">
      <c r="A166" s="12" t="s">
        <v>412</v>
      </c>
      <c r="B166" s="13" t="s">
        <v>56</v>
      </c>
      <c r="C166" s="13" t="s">
        <v>34</v>
      </c>
      <c r="D166" s="13" t="s">
        <v>22</v>
      </c>
      <c r="E166" s="13" t="s">
        <v>63</v>
      </c>
      <c r="F166" s="23">
        <v>45739</v>
      </c>
      <c r="G166" s="23">
        <v>45747</v>
      </c>
      <c r="H166" s="23">
        <v>45752</v>
      </c>
      <c r="I166" s="23">
        <v>45755</v>
      </c>
      <c r="J166" s="13" t="s">
        <v>27</v>
      </c>
      <c r="K166" s="18">
        <v>187</v>
      </c>
      <c r="L166" s="13">
        <v>810.08</v>
      </c>
      <c r="M166" s="13">
        <v>151484.96</v>
      </c>
      <c r="N166" s="18">
        <v>13</v>
      </c>
      <c r="O166" s="21">
        <v>5</v>
      </c>
      <c r="P166" s="27" t="str">
        <f>IF(AND(Late_Orders[[#This Row],[Order_Status]]="Late", Late_Orders[[#This Row],[Shipment_Delay]]&gt;=5),"Yes","No")</f>
        <v>Yes</v>
      </c>
    </row>
    <row r="167" spans="1:16" x14ac:dyDescent="0.25">
      <c r="A167" s="12" t="s">
        <v>414</v>
      </c>
      <c r="B167" s="13" t="s">
        <v>48</v>
      </c>
      <c r="C167" s="13" t="s">
        <v>34</v>
      </c>
      <c r="D167" s="13" t="s">
        <v>59</v>
      </c>
      <c r="E167" s="13" t="s">
        <v>40</v>
      </c>
      <c r="F167" s="23">
        <v>45774</v>
      </c>
      <c r="G167" s="23">
        <v>45783</v>
      </c>
      <c r="H167" s="23">
        <v>45784</v>
      </c>
      <c r="I167" s="23">
        <v>45788</v>
      </c>
      <c r="J167" s="13" t="s">
        <v>27</v>
      </c>
      <c r="K167" s="18">
        <v>154</v>
      </c>
      <c r="L167" s="13">
        <v>606.24</v>
      </c>
      <c r="M167" s="13">
        <v>93360.960000000006</v>
      </c>
      <c r="N167" s="18">
        <v>10</v>
      </c>
      <c r="O167" s="21">
        <v>1</v>
      </c>
      <c r="P167" s="27" t="str">
        <f>IF(AND(Late_Orders[[#This Row],[Order_Status]]="Late", Late_Orders[[#This Row],[Shipment_Delay]]&gt;=5),"Yes","No")</f>
        <v>No</v>
      </c>
    </row>
    <row r="168" spans="1:16" x14ac:dyDescent="0.25">
      <c r="A168" s="12" t="s">
        <v>415</v>
      </c>
      <c r="B168" s="13" t="s">
        <v>24</v>
      </c>
      <c r="C168" s="13" t="s">
        <v>25</v>
      </c>
      <c r="D168" s="13" t="s">
        <v>22</v>
      </c>
      <c r="E168" s="13" t="s">
        <v>40</v>
      </c>
      <c r="F168" s="23">
        <v>45749</v>
      </c>
      <c r="G168" s="23">
        <v>45755</v>
      </c>
      <c r="H168" s="23">
        <v>45758</v>
      </c>
      <c r="I168" s="23">
        <v>45763</v>
      </c>
      <c r="J168" s="13" t="s">
        <v>27</v>
      </c>
      <c r="K168" s="18">
        <v>126</v>
      </c>
      <c r="L168" s="13">
        <v>771.95</v>
      </c>
      <c r="M168" s="13">
        <v>97265.7</v>
      </c>
      <c r="N168" s="18">
        <v>9</v>
      </c>
      <c r="O168" s="21">
        <v>3</v>
      </c>
      <c r="P168" s="27" t="str">
        <f>IF(AND(Late_Orders[[#This Row],[Order_Status]]="Late", Late_Orders[[#This Row],[Shipment_Delay]]&gt;=5),"Yes","No")</f>
        <v>No</v>
      </c>
    </row>
    <row r="169" spans="1:16" x14ac:dyDescent="0.25">
      <c r="A169" s="12" t="s">
        <v>418</v>
      </c>
      <c r="B169" s="13" t="s">
        <v>45</v>
      </c>
      <c r="C169" s="13" t="s">
        <v>16</v>
      </c>
      <c r="D169" s="13" t="s">
        <v>39</v>
      </c>
      <c r="E169" s="13" t="s">
        <v>63</v>
      </c>
      <c r="F169" s="23">
        <v>45718</v>
      </c>
      <c r="G169" s="23">
        <v>45721</v>
      </c>
      <c r="H169" s="23">
        <v>45726</v>
      </c>
      <c r="I169" s="23">
        <v>45731</v>
      </c>
      <c r="J169" s="13" t="s">
        <v>27</v>
      </c>
      <c r="K169" s="18">
        <v>163</v>
      </c>
      <c r="L169" s="13">
        <v>74.47</v>
      </c>
      <c r="M169" s="13">
        <v>12138.61</v>
      </c>
      <c r="N169" s="18">
        <v>8</v>
      </c>
      <c r="O169" s="21">
        <v>5</v>
      </c>
      <c r="P169" s="27" t="str">
        <f>IF(AND(Late_Orders[[#This Row],[Order_Status]]="Late", Late_Orders[[#This Row],[Shipment_Delay]]&gt;=5),"Yes","No")</f>
        <v>Yes</v>
      </c>
    </row>
    <row r="170" spans="1:16" x14ac:dyDescent="0.25">
      <c r="A170" s="12" t="s">
        <v>421</v>
      </c>
      <c r="B170" s="13" t="s">
        <v>42</v>
      </c>
      <c r="C170" s="13" t="s">
        <v>43</v>
      </c>
      <c r="D170" s="13" t="s">
        <v>17</v>
      </c>
      <c r="E170" s="13" t="s">
        <v>18</v>
      </c>
      <c r="F170" s="23">
        <v>45684</v>
      </c>
      <c r="G170" s="23">
        <v>45699</v>
      </c>
      <c r="H170" s="23">
        <v>45704</v>
      </c>
      <c r="I170" s="23">
        <v>45706</v>
      </c>
      <c r="J170" s="13" t="s">
        <v>27</v>
      </c>
      <c r="K170" s="18">
        <v>45</v>
      </c>
      <c r="L170" s="13">
        <v>423.8</v>
      </c>
      <c r="M170" s="13">
        <v>19071</v>
      </c>
      <c r="N170" s="18">
        <v>20</v>
      </c>
      <c r="O170" s="21">
        <v>5</v>
      </c>
      <c r="P170" s="27" t="str">
        <f>IF(AND(Late_Orders[[#This Row],[Order_Status]]="Late", Late_Orders[[#This Row],[Shipment_Delay]]&gt;=5),"Yes","No")</f>
        <v>Yes</v>
      </c>
    </row>
    <row r="171" spans="1:16" x14ac:dyDescent="0.25">
      <c r="A171" s="12" t="s">
        <v>422</v>
      </c>
      <c r="B171" s="13" t="s">
        <v>15</v>
      </c>
      <c r="C171" s="13" t="s">
        <v>34</v>
      </c>
      <c r="D171" s="13" t="s">
        <v>59</v>
      </c>
      <c r="E171" s="13" t="s">
        <v>31</v>
      </c>
      <c r="F171" s="23">
        <v>45739</v>
      </c>
      <c r="G171" s="23">
        <v>45748</v>
      </c>
      <c r="H171" s="23">
        <v>45749</v>
      </c>
      <c r="I171" s="23">
        <v>45753</v>
      </c>
      <c r="J171" s="13" t="s">
        <v>27</v>
      </c>
      <c r="K171" s="18">
        <v>103</v>
      </c>
      <c r="L171" s="13">
        <v>18.899999999999999</v>
      </c>
      <c r="M171" s="13">
        <v>1946.7</v>
      </c>
      <c r="N171" s="18">
        <v>10</v>
      </c>
      <c r="O171" s="21">
        <v>1</v>
      </c>
      <c r="P171" s="27" t="str">
        <f>IF(AND(Late_Orders[[#This Row],[Order_Status]]="Late", Late_Orders[[#This Row],[Shipment_Delay]]&gt;=5),"Yes","No")</f>
        <v>No</v>
      </c>
    </row>
    <row r="172" spans="1:16" x14ac:dyDescent="0.25">
      <c r="A172" s="12" t="s">
        <v>424</v>
      </c>
      <c r="B172" s="13" t="s">
        <v>29</v>
      </c>
      <c r="C172" s="13" t="s">
        <v>25</v>
      </c>
      <c r="D172" s="13" t="s">
        <v>59</v>
      </c>
      <c r="E172" s="13" t="s">
        <v>18</v>
      </c>
      <c r="F172" s="23">
        <v>45674</v>
      </c>
      <c r="G172" s="23">
        <v>45678</v>
      </c>
      <c r="H172" s="23">
        <v>45679</v>
      </c>
      <c r="I172" s="23">
        <v>45684</v>
      </c>
      <c r="J172" s="13" t="s">
        <v>27</v>
      </c>
      <c r="K172" s="18">
        <v>47</v>
      </c>
      <c r="L172" s="13">
        <v>69.510000000000005</v>
      </c>
      <c r="M172" s="13">
        <v>3266.97</v>
      </c>
      <c r="N172" s="18">
        <v>5</v>
      </c>
      <c r="O172" s="21">
        <v>1</v>
      </c>
      <c r="P172" s="27" t="str">
        <f>IF(AND(Late_Orders[[#This Row],[Order_Status]]="Late", Late_Orders[[#This Row],[Shipment_Delay]]&gt;=5),"Yes","No")</f>
        <v>No</v>
      </c>
    </row>
    <row r="173" spans="1:16" x14ac:dyDescent="0.25">
      <c r="A173" s="12" t="s">
        <v>425</v>
      </c>
      <c r="B173" s="13" t="s">
        <v>24</v>
      </c>
      <c r="C173" s="13" t="s">
        <v>30</v>
      </c>
      <c r="D173" s="13" t="s">
        <v>59</v>
      </c>
      <c r="E173" s="13" t="s">
        <v>26</v>
      </c>
      <c r="F173" s="23">
        <v>45751</v>
      </c>
      <c r="G173" s="23">
        <v>45762</v>
      </c>
      <c r="H173" s="23">
        <v>45764</v>
      </c>
      <c r="I173" s="23">
        <v>45769</v>
      </c>
      <c r="J173" s="13" t="s">
        <v>27</v>
      </c>
      <c r="K173" s="18">
        <v>180</v>
      </c>
      <c r="L173" s="13">
        <v>846.22</v>
      </c>
      <c r="M173" s="13">
        <v>152319.6</v>
      </c>
      <c r="N173" s="18">
        <v>13</v>
      </c>
      <c r="O173" s="21">
        <v>2</v>
      </c>
      <c r="P173" s="27" t="str">
        <f>IF(AND(Late_Orders[[#This Row],[Order_Status]]="Late", Late_Orders[[#This Row],[Shipment_Delay]]&gt;=5),"Yes","No")</f>
        <v>No</v>
      </c>
    </row>
    <row r="174" spans="1:16" x14ac:dyDescent="0.25">
      <c r="A174" s="12" t="s">
        <v>426</v>
      </c>
      <c r="B174" s="13" t="s">
        <v>45</v>
      </c>
      <c r="C174" s="13" t="s">
        <v>51</v>
      </c>
      <c r="D174" s="13" t="s">
        <v>17</v>
      </c>
      <c r="E174" s="13" t="s">
        <v>63</v>
      </c>
      <c r="F174" s="23">
        <v>45679</v>
      </c>
      <c r="G174" s="23">
        <v>45694</v>
      </c>
      <c r="H174" s="23">
        <v>45695</v>
      </c>
      <c r="I174" s="23">
        <v>45696</v>
      </c>
      <c r="J174" s="13" t="s">
        <v>27</v>
      </c>
      <c r="K174" s="18">
        <v>191</v>
      </c>
      <c r="L174" s="13">
        <v>837.37</v>
      </c>
      <c r="M174" s="13">
        <v>159937.67000000001</v>
      </c>
      <c r="N174" s="18">
        <v>16</v>
      </c>
      <c r="O174" s="21">
        <v>1</v>
      </c>
      <c r="P174" s="27" t="str">
        <f>IF(AND(Late_Orders[[#This Row],[Order_Status]]="Late", Late_Orders[[#This Row],[Shipment_Delay]]&gt;=5),"Yes","No")</f>
        <v>No</v>
      </c>
    </row>
    <row r="175" spans="1:16" x14ac:dyDescent="0.25">
      <c r="A175" s="12" t="s">
        <v>430</v>
      </c>
      <c r="B175" s="13" t="s">
        <v>42</v>
      </c>
      <c r="C175" s="13" t="s">
        <v>16</v>
      </c>
      <c r="D175" s="13" t="s">
        <v>39</v>
      </c>
      <c r="E175" s="13" t="s">
        <v>26</v>
      </c>
      <c r="F175" s="23">
        <v>45747</v>
      </c>
      <c r="G175" s="23">
        <v>45752</v>
      </c>
      <c r="H175" s="23">
        <v>45753</v>
      </c>
      <c r="I175" s="23">
        <v>45754</v>
      </c>
      <c r="J175" s="13" t="s">
        <v>27</v>
      </c>
      <c r="K175" s="18">
        <v>163</v>
      </c>
      <c r="L175" s="13">
        <v>113.31</v>
      </c>
      <c r="M175" s="13">
        <v>18469.53</v>
      </c>
      <c r="N175" s="18">
        <v>6</v>
      </c>
      <c r="O175" s="21">
        <v>1</v>
      </c>
      <c r="P175" s="27" t="str">
        <f>IF(AND(Late_Orders[[#This Row],[Order_Status]]="Late", Late_Orders[[#This Row],[Shipment_Delay]]&gt;=5),"Yes","No")</f>
        <v>No</v>
      </c>
    </row>
    <row r="176" spans="1:16" x14ac:dyDescent="0.25">
      <c r="A176" s="12" t="s">
        <v>431</v>
      </c>
      <c r="B176" s="13" t="s">
        <v>38</v>
      </c>
      <c r="C176" s="13" t="s">
        <v>25</v>
      </c>
      <c r="D176" s="13" t="s">
        <v>22</v>
      </c>
      <c r="E176" s="13" t="s">
        <v>31</v>
      </c>
      <c r="F176" s="23">
        <v>45735</v>
      </c>
      <c r="G176" s="23">
        <v>45741</v>
      </c>
      <c r="H176" s="23">
        <v>45746</v>
      </c>
      <c r="I176" s="23">
        <v>45749</v>
      </c>
      <c r="J176" s="13" t="s">
        <v>27</v>
      </c>
      <c r="K176" s="18">
        <v>56</v>
      </c>
      <c r="L176" s="13">
        <v>313.86</v>
      </c>
      <c r="M176" s="13">
        <v>17576.16</v>
      </c>
      <c r="N176" s="18">
        <v>11</v>
      </c>
      <c r="O176" s="21">
        <v>5</v>
      </c>
      <c r="P176" s="27" t="str">
        <f>IF(AND(Late_Orders[[#This Row],[Order_Status]]="Late", Late_Orders[[#This Row],[Shipment_Delay]]&gt;=5),"Yes","No")</f>
        <v>Yes</v>
      </c>
    </row>
    <row r="177" spans="1:16" x14ac:dyDescent="0.25">
      <c r="A177" s="12" t="s">
        <v>434</v>
      </c>
      <c r="B177" s="13" t="s">
        <v>24</v>
      </c>
      <c r="C177" s="13" t="s">
        <v>21</v>
      </c>
      <c r="D177" s="13" t="s">
        <v>35</v>
      </c>
      <c r="E177" s="13" t="s">
        <v>31</v>
      </c>
      <c r="F177" s="23">
        <v>45670</v>
      </c>
      <c r="G177" s="23">
        <v>45675</v>
      </c>
      <c r="H177" s="23">
        <v>45680</v>
      </c>
      <c r="I177" s="23">
        <v>45681</v>
      </c>
      <c r="J177" s="13" t="s">
        <v>27</v>
      </c>
      <c r="K177" s="18">
        <v>97</v>
      </c>
      <c r="L177" s="13">
        <v>684.33</v>
      </c>
      <c r="M177" s="13">
        <v>66380.009999999995</v>
      </c>
      <c r="N177" s="18">
        <v>10</v>
      </c>
      <c r="O177" s="21">
        <v>5</v>
      </c>
      <c r="P177" s="27" t="str">
        <f>IF(AND(Late_Orders[[#This Row],[Order_Status]]="Late", Late_Orders[[#This Row],[Shipment_Delay]]&gt;=5),"Yes","No")</f>
        <v>Yes</v>
      </c>
    </row>
    <row r="178" spans="1:16" x14ac:dyDescent="0.25">
      <c r="A178" s="12" t="s">
        <v>443</v>
      </c>
      <c r="B178" s="13" t="s">
        <v>42</v>
      </c>
      <c r="C178" s="13" t="s">
        <v>30</v>
      </c>
      <c r="D178" s="13" t="s">
        <v>35</v>
      </c>
      <c r="E178" s="13" t="s">
        <v>31</v>
      </c>
      <c r="F178" s="23">
        <v>45668</v>
      </c>
      <c r="G178" s="23">
        <v>45678</v>
      </c>
      <c r="H178" s="23">
        <v>45679</v>
      </c>
      <c r="I178" s="23">
        <v>45684</v>
      </c>
      <c r="J178" s="13" t="s">
        <v>27</v>
      </c>
      <c r="K178" s="18">
        <v>132</v>
      </c>
      <c r="L178" s="13">
        <v>388.3</v>
      </c>
      <c r="M178" s="13">
        <v>51255.6</v>
      </c>
      <c r="N178" s="18">
        <v>11</v>
      </c>
      <c r="O178" s="21">
        <v>1</v>
      </c>
      <c r="P178" s="27" t="str">
        <f>IF(AND(Late_Orders[[#This Row],[Order_Status]]="Late", Late_Orders[[#This Row],[Shipment_Delay]]&gt;=5),"Yes","No")</f>
        <v>No</v>
      </c>
    </row>
    <row r="179" spans="1:16" x14ac:dyDescent="0.25">
      <c r="A179" s="12" t="s">
        <v>445</v>
      </c>
      <c r="B179" s="13" t="s">
        <v>48</v>
      </c>
      <c r="C179" s="13" t="s">
        <v>30</v>
      </c>
      <c r="D179" s="13" t="s">
        <v>59</v>
      </c>
      <c r="E179" s="13" t="s">
        <v>40</v>
      </c>
      <c r="F179" s="23">
        <v>45704</v>
      </c>
      <c r="G179" s="23">
        <v>45707</v>
      </c>
      <c r="H179" s="23">
        <v>45712</v>
      </c>
      <c r="I179" s="23">
        <v>45714</v>
      </c>
      <c r="J179" s="13" t="s">
        <v>27</v>
      </c>
      <c r="K179" s="18">
        <v>89</v>
      </c>
      <c r="L179" s="13">
        <v>482.73</v>
      </c>
      <c r="M179" s="13">
        <v>42962.97</v>
      </c>
      <c r="N179" s="18">
        <v>8</v>
      </c>
      <c r="O179" s="21">
        <v>5</v>
      </c>
      <c r="P179" s="27" t="str">
        <f>IF(AND(Late_Orders[[#This Row],[Order_Status]]="Late", Late_Orders[[#This Row],[Shipment_Delay]]&gt;=5),"Yes","No")</f>
        <v>Yes</v>
      </c>
    </row>
    <row r="180" spans="1:16" x14ac:dyDescent="0.25">
      <c r="A180" s="12" t="s">
        <v>447</v>
      </c>
      <c r="B180" s="13" t="s">
        <v>42</v>
      </c>
      <c r="C180" s="13" t="s">
        <v>25</v>
      </c>
      <c r="D180" s="13" t="s">
        <v>17</v>
      </c>
      <c r="E180" s="13" t="s">
        <v>26</v>
      </c>
      <c r="F180" s="23">
        <v>45772</v>
      </c>
      <c r="G180" s="23">
        <v>45777</v>
      </c>
      <c r="H180" s="23">
        <v>45778</v>
      </c>
      <c r="I180" s="23">
        <v>45780</v>
      </c>
      <c r="J180" s="13" t="s">
        <v>27</v>
      </c>
      <c r="K180" s="18">
        <v>195</v>
      </c>
      <c r="L180" s="13">
        <v>617.5</v>
      </c>
      <c r="M180" s="13">
        <v>120412.5</v>
      </c>
      <c r="N180" s="18">
        <v>6</v>
      </c>
      <c r="O180" s="21">
        <v>1</v>
      </c>
      <c r="P180" s="27" t="str">
        <f>IF(AND(Late_Orders[[#This Row],[Order_Status]]="Late", Late_Orders[[#This Row],[Shipment_Delay]]&gt;=5),"Yes","No")</f>
        <v>No</v>
      </c>
    </row>
    <row r="181" spans="1:16" x14ac:dyDescent="0.25">
      <c r="A181" s="12" t="s">
        <v>448</v>
      </c>
      <c r="B181" s="13" t="s">
        <v>42</v>
      </c>
      <c r="C181" s="13" t="s">
        <v>21</v>
      </c>
      <c r="D181" s="13" t="s">
        <v>35</v>
      </c>
      <c r="E181" s="13" t="s">
        <v>40</v>
      </c>
      <c r="F181" s="23">
        <v>45682</v>
      </c>
      <c r="G181" s="23">
        <v>45686</v>
      </c>
      <c r="H181" s="23">
        <v>45691</v>
      </c>
      <c r="I181" s="23">
        <v>45695</v>
      </c>
      <c r="J181" s="13" t="s">
        <v>27</v>
      </c>
      <c r="K181" s="18">
        <v>53</v>
      </c>
      <c r="L181" s="13">
        <v>613.52</v>
      </c>
      <c r="M181" s="13">
        <v>32516.560000000001</v>
      </c>
      <c r="N181" s="18">
        <v>9</v>
      </c>
      <c r="O181" s="21">
        <v>5</v>
      </c>
      <c r="P181" s="27" t="str">
        <f>IF(AND(Late_Orders[[#This Row],[Order_Status]]="Late", Late_Orders[[#This Row],[Shipment_Delay]]&gt;=5),"Yes","No")</f>
        <v>Yes</v>
      </c>
    </row>
    <row r="182" spans="1:16" x14ac:dyDescent="0.25">
      <c r="A182" s="12" t="s">
        <v>449</v>
      </c>
      <c r="B182" s="13" t="s">
        <v>48</v>
      </c>
      <c r="C182" s="13" t="s">
        <v>43</v>
      </c>
      <c r="D182" s="13" t="s">
        <v>39</v>
      </c>
      <c r="E182" s="13" t="s">
        <v>31</v>
      </c>
      <c r="F182" s="23">
        <v>45765</v>
      </c>
      <c r="G182" s="23">
        <v>45778</v>
      </c>
      <c r="H182" s="23">
        <v>45780</v>
      </c>
      <c r="I182" s="23">
        <v>45781</v>
      </c>
      <c r="J182" s="13" t="s">
        <v>27</v>
      </c>
      <c r="K182" s="18">
        <v>120</v>
      </c>
      <c r="L182" s="13">
        <v>396.92</v>
      </c>
      <c r="M182" s="13">
        <v>47630.400000000001</v>
      </c>
      <c r="N182" s="18">
        <v>15</v>
      </c>
      <c r="O182" s="21">
        <v>2</v>
      </c>
      <c r="P182" s="27" t="str">
        <f>IF(AND(Late_Orders[[#This Row],[Order_Status]]="Late", Late_Orders[[#This Row],[Shipment_Delay]]&gt;=5),"Yes","No")</f>
        <v>No</v>
      </c>
    </row>
    <row r="183" spans="1:16" x14ac:dyDescent="0.25">
      <c r="A183" s="12" t="s">
        <v>451</v>
      </c>
      <c r="B183" s="13" t="s">
        <v>38</v>
      </c>
      <c r="C183" s="13" t="s">
        <v>34</v>
      </c>
      <c r="D183" s="13" t="s">
        <v>59</v>
      </c>
      <c r="E183" s="13" t="s">
        <v>18</v>
      </c>
      <c r="F183" s="23">
        <v>45707</v>
      </c>
      <c r="G183" s="23">
        <v>45720</v>
      </c>
      <c r="H183" s="23">
        <v>45722</v>
      </c>
      <c r="I183" s="23">
        <v>45727</v>
      </c>
      <c r="J183" s="13" t="s">
        <v>27</v>
      </c>
      <c r="K183" s="18">
        <v>134</v>
      </c>
      <c r="L183" s="13">
        <v>750.96</v>
      </c>
      <c r="M183" s="13">
        <v>100628.64</v>
      </c>
      <c r="N183" s="18">
        <v>15</v>
      </c>
      <c r="O183" s="21">
        <v>2</v>
      </c>
      <c r="P183" s="27" t="str">
        <f>IF(AND(Late_Orders[[#This Row],[Order_Status]]="Late", Late_Orders[[#This Row],[Shipment_Delay]]&gt;=5),"Yes","No")</f>
        <v>No</v>
      </c>
    </row>
    <row r="184" spans="1:16" x14ac:dyDescent="0.25">
      <c r="A184" s="12" t="s">
        <v>453</v>
      </c>
      <c r="B184" s="13" t="s">
        <v>24</v>
      </c>
      <c r="C184" s="13" t="s">
        <v>43</v>
      </c>
      <c r="D184" s="13" t="s">
        <v>22</v>
      </c>
      <c r="E184" s="13" t="s">
        <v>63</v>
      </c>
      <c r="F184" s="23">
        <v>45749</v>
      </c>
      <c r="G184" s="23">
        <v>45763</v>
      </c>
      <c r="H184" s="23">
        <v>45765</v>
      </c>
      <c r="I184" s="23">
        <v>45767</v>
      </c>
      <c r="J184" s="13" t="s">
        <v>27</v>
      </c>
      <c r="K184" s="18">
        <v>164</v>
      </c>
      <c r="L184" s="13">
        <v>611.51</v>
      </c>
      <c r="M184" s="13">
        <v>100287.64</v>
      </c>
      <c r="N184" s="18">
        <v>16</v>
      </c>
      <c r="O184" s="21">
        <v>2</v>
      </c>
      <c r="P184" s="27" t="str">
        <f>IF(AND(Late_Orders[[#This Row],[Order_Status]]="Late", Late_Orders[[#This Row],[Shipment_Delay]]&gt;=5),"Yes","No")</f>
        <v>No</v>
      </c>
    </row>
    <row r="185" spans="1:16" x14ac:dyDescent="0.25">
      <c r="A185" s="12" t="s">
        <v>454</v>
      </c>
      <c r="B185" s="13" t="s">
        <v>53</v>
      </c>
      <c r="C185" s="13" t="s">
        <v>21</v>
      </c>
      <c r="D185" s="13" t="s">
        <v>17</v>
      </c>
      <c r="E185" s="13" t="s">
        <v>57</v>
      </c>
      <c r="F185" s="23">
        <v>45727</v>
      </c>
      <c r="G185" s="23">
        <v>45741</v>
      </c>
      <c r="H185" s="23">
        <v>45744</v>
      </c>
      <c r="I185" s="23">
        <v>45747</v>
      </c>
      <c r="J185" s="13" t="s">
        <v>27</v>
      </c>
      <c r="K185" s="18">
        <v>199</v>
      </c>
      <c r="L185" s="13">
        <v>309.12</v>
      </c>
      <c r="M185" s="13">
        <v>61514.879999999997</v>
      </c>
      <c r="N185" s="18">
        <v>17</v>
      </c>
      <c r="O185" s="21">
        <v>3</v>
      </c>
      <c r="P185" s="27" t="str">
        <f>IF(AND(Late_Orders[[#This Row],[Order_Status]]="Late", Late_Orders[[#This Row],[Shipment_Delay]]&gt;=5),"Yes","No")</f>
        <v>No</v>
      </c>
    </row>
    <row r="186" spans="1:16" x14ac:dyDescent="0.25">
      <c r="A186" s="12" t="s">
        <v>455</v>
      </c>
      <c r="B186" s="13" t="s">
        <v>29</v>
      </c>
      <c r="C186" s="13" t="s">
        <v>51</v>
      </c>
      <c r="D186" s="13" t="s">
        <v>22</v>
      </c>
      <c r="E186" s="13" t="s">
        <v>57</v>
      </c>
      <c r="F186" s="23">
        <v>45770</v>
      </c>
      <c r="G186" s="23">
        <v>45779</v>
      </c>
      <c r="H186" s="23">
        <v>45784</v>
      </c>
      <c r="I186" s="23">
        <v>45785</v>
      </c>
      <c r="J186" s="13" t="s">
        <v>27</v>
      </c>
      <c r="K186" s="18">
        <v>11</v>
      </c>
      <c r="L186" s="13">
        <v>333.03</v>
      </c>
      <c r="M186" s="13">
        <v>3663.33</v>
      </c>
      <c r="N186" s="18">
        <v>14</v>
      </c>
      <c r="O186" s="21">
        <v>5</v>
      </c>
      <c r="P186" s="27" t="str">
        <f>IF(AND(Late_Orders[[#This Row],[Order_Status]]="Late", Late_Orders[[#This Row],[Shipment_Delay]]&gt;=5),"Yes","No")</f>
        <v>Yes</v>
      </c>
    </row>
    <row r="187" spans="1:16" x14ac:dyDescent="0.25">
      <c r="A187" s="12" t="s">
        <v>458</v>
      </c>
      <c r="B187" s="13" t="s">
        <v>56</v>
      </c>
      <c r="C187" s="13" t="s">
        <v>34</v>
      </c>
      <c r="D187" s="13" t="s">
        <v>17</v>
      </c>
      <c r="E187" s="13" t="s">
        <v>18</v>
      </c>
      <c r="F187" s="23">
        <v>45707</v>
      </c>
      <c r="G187" s="23">
        <v>45716</v>
      </c>
      <c r="H187" s="23">
        <v>45721</v>
      </c>
      <c r="I187" s="23">
        <v>45724</v>
      </c>
      <c r="J187" s="13" t="s">
        <v>27</v>
      </c>
      <c r="K187" s="18">
        <v>18</v>
      </c>
      <c r="L187" s="13">
        <v>25.83</v>
      </c>
      <c r="M187" s="13">
        <v>464.94</v>
      </c>
      <c r="N187" s="18">
        <v>14</v>
      </c>
      <c r="O187" s="21">
        <v>5</v>
      </c>
      <c r="P187" s="27" t="str">
        <f>IF(AND(Late_Orders[[#This Row],[Order_Status]]="Late", Late_Orders[[#This Row],[Shipment_Delay]]&gt;=5),"Yes","No")</f>
        <v>Yes</v>
      </c>
    </row>
    <row r="188" spans="1:16" x14ac:dyDescent="0.25">
      <c r="A188" s="12" t="s">
        <v>459</v>
      </c>
      <c r="B188" s="13" t="s">
        <v>45</v>
      </c>
      <c r="C188" s="13" t="s">
        <v>34</v>
      </c>
      <c r="D188" s="13" t="s">
        <v>59</v>
      </c>
      <c r="E188" s="13" t="s">
        <v>18</v>
      </c>
      <c r="F188" s="23">
        <v>45764</v>
      </c>
      <c r="G188" s="23">
        <v>45770</v>
      </c>
      <c r="H188" s="23">
        <v>45773</v>
      </c>
      <c r="I188" s="23">
        <v>45776</v>
      </c>
      <c r="J188" s="13" t="s">
        <v>27</v>
      </c>
      <c r="K188" s="18">
        <v>144</v>
      </c>
      <c r="L188" s="13">
        <v>631.61</v>
      </c>
      <c r="M188" s="13">
        <v>90951.84</v>
      </c>
      <c r="N188" s="18">
        <v>9</v>
      </c>
      <c r="O188" s="21">
        <v>3</v>
      </c>
      <c r="P188" s="27" t="str">
        <f>IF(AND(Late_Orders[[#This Row],[Order_Status]]="Late", Late_Orders[[#This Row],[Shipment_Delay]]&gt;=5),"Yes","No")</f>
        <v>No</v>
      </c>
    </row>
    <row r="189" spans="1:16" x14ac:dyDescent="0.25">
      <c r="A189" s="12" t="s">
        <v>462</v>
      </c>
      <c r="B189" s="13" t="s">
        <v>48</v>
      </c>
      <c r="C189" s="13" t="s">
        <v>46</v>
      </c>
      <c r="D189" s="13" t="s">
        <v>35</v>
      </c>
      <c r="E189" s="13" t="s">
        <v>40</v>
      </c>
      <c r="F189" s="23">
        <v>45734</v>
      </c>
      <c r="G189" s="23">
        <v>45737</v>
      </c>
      <c r="H189" s="23">
        <v>45742</v>
      </c>
      <c r="I189" s="23">
        <v>45747</v>
      </c>
      <c r="J189" s="13" t="s">
        <v>27</v>
      </c>
      <c r="K189" s="18">
        <v>82</v>
      </c>
      <c r="L189" s="13">
        <v>424.61</v>
      </c>
      <c r="M189" s="13">
        <v>34818.019999999997</v>
      </c>
      <c r="N189" s="18">
        <v>8</v>
      </c>
      <c r="O189" s="21">
        <v>5</v>
      </c>
      <c r="P189" s="27" t="str">
        <f>IF(AND(Late_Orders[[#This Row],[Order_Status]]="Late", Late_Orders[[#This Row],[Shipment_Delay]]&gt;=5),"Yes","No")</f>
        <v>Yes</v>
      </c>
    </row>
    <row r="190" spans="1:16" x14ac:dyDescent="0.25">
      <c r="A190" s="12" t="s">
        <v>464</v>
      </c>
      <c r="B190" s="13" t="s">
        <v>48</v>
      </c>
      <c r="C190" s="13" t="s">
        <v>30</v>
      </c>
      <c r="D190" s="13" t="s">
        <v>17</v>
      </c>
      <c r="E190" s="13" t="s">
        <v>40</v>
      </c>
      <c r="F190" s="23">
        <v>45686</v>
      </c>
      <c r="G190" s="23">
        <v>45692</v>
      </c>
      <c r="H190" s="23">
        <v>45695</v>
      </c>
      <c r="I190" s="23">
        <v>45698</v>
      </c>
      <c r="J190" s="13" t="s">
        <v>27</v>
      </c>
      <c r="K190" s="18">
        <v>80</v>
      </c>
      <c r="L190" s="13">
        <v>197.4</v>
      </c>
      <c r="M190" s="13">
        <v>15792</v>
      </c>
      <c r="N190" s="18">
        <v>9</v>
      </c>
      <c r="O190" s="21">
        <v>3</v>
      </c>
      <c r="P190" s="27" t="str">
        <f>IF(AND(Late_Orders[[#This Row],[Order_Status]]="Late", Late_Orders[[#This Row],[Shipment_Delay]]&gt;=5),"Yes","No")</f>
        <v>No</v>
      </c>
    </row>
    <row r="191" spans="1:16" x14ac:dyDescent="0.25">
      <c r="A191" s="12" t="s">
        <v>465</v>
      </c>
      <c r="B191" s="13" t="s">
        <v>48</v>
      </c>
      <c r="C191" s="13" t="s">
        <v>34</v>
      </c>
      <c r="D191" s="13" t="s">
        <v>35</v>
      </c>
      <c r="E191" s="13" t="s">
        <v>40</v>
      </c>
      <c r="F191" s="23">
        <v>45659</v>
      </c>
      <c r="G191" s="23">
        <v>45663</v>
      </c>
      <c r="H191" s="23">
        <v>45666</v>
      </c>
      <c r="I191" s="23">
        <v>45669</v>
      </c>
      <c r="J191" s="13" t="s">
        <v>27</v>
      </c>
      <c r="K191" s="18">
        <v>169</v>
      </c>
      <c r="L191" s="13">
        <v>527.44000000000005</v>
      </c>
      <c r="M191" s="13">
        <v>89137.36</v>
      </c>
      <c r="N191" s="18">
        <v>7</v>
      </c>
      <c r="O191" s="21">
        <v>3</v>
      </c>
      <c r="P191" s="27" t="str">
        <f>IF(AND(Late_Orders[[#This Row],[Order_Status]]="Late", Late_Orders[[#This Row],[Shipment_Delay]]&gt;=5),"Yes","No")</f>
        <v>No</v>
      </c>
    </row>
    <row r="192" spans="1:16" x14ac:dyDescent="0.25">
      <c r="A192" s="12" t="s">
        <v>466</v>
      </c>
      <c r="B192" s="13" t="s">
        <v>29</v>
      </c>
      <c r="C192" s="13" t="s">
        <v>46</v>
      </c>
      <c r="D192" s="13" t="s">
        <v>17</v>
      </c>
      <c r="E192" s="13" t="s">
        <v>63</v>
      </c>
      <c r="F192" s="23">
        <v>45771</v>
      </c>
      <c r="G192" s="23">
        <v>45779</v>
      </c>
      <c r="H192" s="23">
        <v>45780</v>
      </c>
      <c r="I192" s="23">
        <v>45781</v>
      </c>
      <c r="J192" s="13" t="s">
        <v>27</v>
      </c>
      <c r="K192" s="18">
        <v>143</v>
      </c>
      <c r="L192" s="13">
        <v>619.52</v>
      </c>
      <c r="M192" s="13">
        <v>88591.360000000001</v>
      </c>
      <c r="N192" s="18">
        <v>9</v>
      </c>
      <c r="O192" s="21">
        <v>1</v>
      </c>
      <c r="P192" s="27" t="str">
        <f>IF(AND(Late_Orders[[#This Row],[Order_Status]]="Late", Late_Orders[[#This Row],[Shipment_Delay]]&gt;=5),"Yes","No")</f>
        <v>No</v>
      </c>
    </row>
    <row r="193" spans="1:16" x14ac:dyDescent="0.25">
      <c r="A193" s="12" t="s">
        <v>468</v>
      </c>
      <c r="B193" s="13" t="s">
        <v>45</v>
      </c>
      <c r="C193" s="13" t="s">
        <v>21</v>
      </c>
      <c r="D193" s="13" t="s">
        <v>35</v>
      </c>
      <c r="E193" s="13" t="s">
        <v>40</v>
      </c>
      <c r="F193" s="23">
        <v>45743</v>
      </c>
      <c r="G193" s="23">
        <v>45756</v>
      </c>
      <c r="H193" s="23">
        <v>45761</v>
      </c>
      <c r="I193" s="23">
        <v>45763</v>
      </c>
      <c r="J193" s="13" t="s">
        <v>27</v>
      </c>
      <c r="K193" s="18">
        <v>113</v>
      </c>
      <c r="L193" s="13">
        <v>712.78</v>
      </c>
      <c r="M193" s="13">
        <v>80544.14</v>
      </c>
      <c r="N193" s="18">
        <v>18</v>
      </c>
      <c r="O193" s="21">
        <v>5</v>
      </c>
      <c r="P193" s="27" t="str">
        <f>IF(AND(Late_Orders[[#This Row],[Order_Status]]="Late", Late_Orders[[#This Row],[Shipment_Delay]]&gt;=5),"Yes","No")</f>
        <v>Yes</v>
      </c>
    </row>
    <row r="194" spans="1:16" x14ac:dyDescent="0.25">
      <c r="A194" s="12" t="s">
        <v>470</v>
      </c>
      <c r="B194" s="13" t="s">
        <v>29</v>
      </c>
      <c r="C194" s="13" t="s">
        <v>21</v>
      </c>
      <c r="D194" s="13" t="s">
        <v>35</v>
      </c>
      <c r="E194" s="13" t="s">
        <v>63</v>
      </c>
      <c r="F194" s="23">
        <v>45774</v>
      </c>
      <c r="G194" s="23">
        <v>45781</v>
      </c>
      <c r="H194" s="23">
        <v>45782</v>
      </c>
      <c r="I194" s="23">
        <v>45786</v>
      </c>
      <c r="J194" s="13" t="s">
        <v>27</v>
      </c>
      <c r="K194" s="18">
        <v>108</v>
      </c>
      <c r="L194" s="13">
        <v>376.58</v>
      </c>
      <c r="M194" s="13">
        <v>40670.639999999999</v>
      </c>
      <c r="N194" s="18">
        <v>8</v>
      </c>
      <c r="O194" s="21">
        <v>1</v>
      </c>
      <c r="P194" s="27" t="str">
        <f>IF(AND(Late_Orders[[#This Row],[Order_Status]]="Late", Late_Orders[[#This Row],[Shipment_Delay]]&gt;=5),"Yes","No")</f>
        <v>No</v>
      </c>
    </row>
    <row r="195" spans="1:16" x14ac:dyDescent="0.25">
      <c r="A195" s="12" t="s">
        <v>472</v>
      </c>
      <c r="B195" s="13" t="s">
        <v>53</v>
      </c>
      <c r="C195" s="13" t="s">
        <v>21</v>
      </c>
      <c r="D195" s="13" t="s">
        <v>39</v>
      </c>
      <c r="E195" s="13" t="s">
        <v>40</v>
      </c>
      <c r="F195" s="23">
        <v>45695</v>
      </c>
      <c r="G195" s="23">
        <v>45710</v>
      </c>
      <c r="H195" s="23">
        <v>45713</v>
      </c>
      <c r="I195" s="23">
        <v>45716</v>
      </c>
      <c r="J195" s="13" t="s">
        <v>27</v>
      </c>
      <c r="K195" s="18">
        <v>77</v>
      </c>
      <c r="L195" s="13">
        <v>654</v>
      </c>
      <c r="M195" s="13">
        <v>50358</v>
      </c>
      <c r="N195" s="18">
        <v>18</v>
      </c>
      <c r="O195" s="21">
        <v>3</v>
      </c>
      <c r="P195" s="27" t="str">
        <f>IF(AND(Late_Orders[[#This Row],[Order_Status]]="Late", Late_Orders[[#This Row],[Shipment_Delay]]&gt;=5),"Yes","No")</f>
        <v>No</v>
      </c>
    </row>
    <row r="196" spans="1:16" x14ac:dyDescent="0.25">
      <c r="A196" s="12" t="s">
        <v>474</v>
      </c>
      <c r="B196" s="13" t="s">
        <v>15</v>
      </c>
      <c r="C196" s="13" t="s">
        <v>43</v>
      </c>
      <c r="D196" s="13" t="s">
        <v>35</v>
      </c>
      <c r="E196" s="13" t="s">
        <v>31</v>
      </c>
      <c r="F196" s="23">
        <v>45744</v>
      </c>
      <c r="G196" s="23">
        <v>45759</v>
      </c>
      <c r="H196" s="23">
        <v>45764</v>
      </c>
      <c r="I196" s="23">
        <v>45767</v>
      </c>
      <c r="J196" s="13" t="s">
        <v>27</v>
      </c>
      <c r="K196" s="18">
        <v>7</v>
      </c>
      <c r="L196" s="13">
        <v>477.19</v>
      </c>
      <c r="M196" s="13">
        <v>3340.33</v>
      </c>
      <c r="N196" s="18">
        <v>20</v>
      </c>
      <c r="O196" s="21">
        <v>5</v>
      </c>
      <c r="P196" s="27" t="str">
        <f>IF(AND(Late_Orders[[#This Row],[Order_Status]]="Late", Late_Orders[[#This Row],[Shipment_Delay]]&gt;=5),"Yes","No")</f>
        <v>Yes</v>
      </c>
    </row>
    <row r="197" spans="1:16" x14ac:dyDescent="0.25">
      <c r="A197" s="12" t="s">
        <v>475</v>
      </c>
      <c r="B197" s="13" t="s">
        <v>24</v>
      </c>
      <c r="C197" s="13" t="s">
        <v>34</v>
      </c>
      <c r="D197" s="13" t="s">
        <v>39</v>
      </c>
      <c r="E197" s="13" t="s">
        <v>40</v>
      </c>
      <c r="F197" s="23">
        <v>45658</v>
      </c>
      <c r="G197" s="23">
        <v>45670</v>
      </c>
      <c r="H197" s="23">
        <v>45672</v>
      </c>
      <c r="I197" s="23">
        <v>45676</v>
      </c>
      <c r="J197" s="13" t="s">
        <v>27</v>
      </c>
      <c r="K197" s="18">
        <v>26</v>
      </c>
      <c r="L197" s="13">
        <v>269.42</v>
      </c>
      <c r="M197" s="13">
        <v>7004.92</v>
      </c>
      <c r="N197" s="18">
        <v>14</v>
      </c>
      <c r="O197" s="21">
        <v>2</v>
      </c>
      <c r="P197" s="27" t="str">
        <f>IF(AND(Late_Orders[[#This Row],[Order_Status]]="Late", Late_Orders[[#This Row],[Shipment_Delay]]&gt;=5),"Yes","No")</f>
        <v>No</v>
      </c>
    </row>
    <row r="198" spans="1:16" x14ac:dyDescent="0.25">
      <c r="A198" s="12" t="s">
        <v>479</v>
      </c>
      <c r="B198" s="13" t="s">
        <v>38</v>
      </c>
      <c r="C198" s="13" t="s">
        <v>43</v>
      </c>
      <c r="D198" s="13" t="s">
        <v>35</v>
      </c>
      <c r="E198" s="13" t="s">
        <v>57</v>
      </c>
      <c r="F198" s="23">
        <v>45697</v>
      </c>
      <c r="G198" s="23">
        <v>45711</v>
      </c>
      <c r="H198" s="23">
        <v>45713</v>
      </c>
      <c r="I198" s="23">
        <v>45715</v>
      </c>
      <c r="J198" s="13" t="s">
        <v>27</v>
      </c>
      <c r="K198" s="18">
        <v>98</v>
      </c>
      <c r="L198" s="13">
        <v>689.43</v>
      </c>
      <c r="M198" s="13">
        <v>67564.14</v>
      </c>
      <c r="N198" s="18">
        <v>16</v>
      </c>
      <c r="O198" s="21">
        <v>2</v>
      </c>
      <c r="P198" s="27" t="str">
        <f>IF(AND(Late_Orders[[#This Row],[Order_Status]]="Late", Late_Orders[[#This Row],[Shipment_Delay]]&gt;=5),"Yes","No")</f>
        <v>No</v>
      </c>
    </row>
    <row r="199" spans="1:16" x14ac:dyDescent="0.25">
      <c r="A199" s="12" t="s">
        <v>482</v>
      </c>
      <c r="B199" s="13" t="s">
        <v>29</v>
      </c>
      <c r="C199" s="13" t="s">
        <v>21</v>
      </c>
      <c r="D199" s="13" t="s">
        <v>17</v>
      </c>
      <c r="E199" s="13" t="s">
        <v>26</v>
      </c>
      <c r="F199" s="23">
        <v>45691</v>
      </c>
      <c r="G199" s="23">
        <v>45705</v>
      </c>
      <c r="H199" s="23">
        <v>45708</v>
      </c>
      <c r="I199" s="23">
        <v>45709</v>
      </c>
      <c r="J199" s="13" t="s">
        <v>27</v>
      </c>
      <c r="K199" s="18">
        <v>9</v>
      </c>
      <c r="L199" s="13">
        <v>724.41</v>
      </c>
      <c r="M199" s="13">
        <v>6519.69</v>
      </c>
      <c r="N199" s="18">
        <v>17</v>
      </c>
      <c r="O199" s="21">
        <v>3</v>
      </c>
      <c r="P199" s="27" t="str">
        <f>IF(AND(Late_Orders[[#This Row],[Order_Status]]="Late", Late_Orders[[#This Row],[Shipment_Delay]]&gt;=5),"Yes","No")</f>
        <v>No</v>
      </c>
    </row>
    <row r="200" spans="1:16" x14ac:dyDescent="0.25">
      <c r="A200" s="12" t="s">
        <v>483</v>
      </c>
      <c r="B200" s="13" t="s">
        <v>78</v>
      </c>
      <c r="C200" s="13" t="s">
        <v>46</v>
      </c>
      <c r="D200" s="13" t="s">
        <v>39</v>
      </c>
      <c r="E200" s="13" t="s">
        <v>26</v>
      </c>
      <c r="F200" s="23">
        <v>45774</v>
      </c>
      <c r="G200" s="23">
        <v>45777</v>
      </c>
      <c r="H200" s="23">
        <v>45779</v>
      </c>
      <c r="I200" s="23">
        <v>45782</v>
      </c>
      <c r="J200" s="13" t="s">
        <v>27</v>
      </c>
      <c r="K200" s="18">
        <v>143</v>
      </c>
      <c r="L200" s="13">
        <v>409.21</v>
      </c>
      <c r="M200" s="13">
        <v>58517.03</v>
      </c>
      <c r="N200" s="18">
        <v>5</v>
      </c>
      <c r="O200" s="21">
        <v>2</v>
      </c>
      <c r="P200" s="27" t="str">
        <f>IF(AND(Late_Orders[[#This Row],[Order_Status]]="Late", Late_Orders[[#This Row],[Shipment_Delay]]&gt;=5),"Yes","No")</f>
        <v>No</v>
      </c>
    </row>
    <row r="201" spans="1:16" x14ac:dyDescent="0.25">
      <c r="A201" s="12" t="s">
        <v>485</v>
      </c>
      <c r="B201" s="13" t="s">
        <v>53</v>
      </c>
      <c r="C201" s="13" t="s">
        <v>43</v>
      </c>
      <c r="D201" s="13" t="s">
        <v>22</v>
      </c>
      <c r="E201" s="13" t="s">
        <v>63</v>
      </c>
      <c r="F201" s="23">
        <v>45742</v>
      </c>
      <c r="G201" s="23">
        <v>45748</v>
      </c>
      <c r="H201" s="23">
        <v>45753</v>
      </c>
      <c r="I201" s="23">
        <v>45758</v>
      </c>
      <c r="J201" s="13" t="s">
        <v>27</v>
      </c>
      <c r="K201" s="18">
        <v>198</v>
      </c>
      <c r="L201" s="13">
        <v>444.3</v>
      </c>
      <c r="M201" s="13">
        <v>87971.4</v>
      </c>
      <c r="N201" s="18">
        <v>11</v>
      </c>
      <c r="O201" s="21">
        <v>5</v>
      </c>
      <c r="P201" s="27" t="str">
        <f>IF(AND(Late_Orders[[#This Row],[Order_Status]]="Late", Late_Orders[[#This Row],[Shipment_Delay]]&gt;=5),"Yes","No")</f>
        <v>Yes</v>
      </c>
    </row>
    <row r="202" spans="1:16" x14ac:dyDescent="0.25">
      <c r="A202" s="12" t="s">
        <v>486</v>
      </c>
      <c r="B202" s="13" t="s">
        <v>29</v>
      </c>
      <c r="C202" s="13" t="s">
        <v>34</v>
      </c>
      <c r="D202" s="13" t="s">
        <v>39</v>
      </c>
      <c r="E202" s="13" t="s">
        <v>26</v>
      </c>
      <c r="F202" s="23">
        <v>45730</v>
      </c>
      <c r="G202" s="23">
        <v>45743</v>
      </c>
      <c r="H202" s="23">
        <v>45748</v>
      </c>
      <c r="I202" s="23">
        <v>45750</v>
      </c>
      <c r="J202" s="13" t="s">
        <v>27</v>
      </c>
      <c r="K202" s="18">
        <v>128</v>
      </c>
      <c r="L202" s="13">
        <v>799.21</v>
      </c>
      <c r="M202" s="13">
        <v>102298.88</v>
      </c>
      <c r="N202" s="18">
        <v>18</v>
      </c>
      <c r="O202" s="21">
        <v>5</v>
      </c>
      <c r="P202" s="27" t="str">
        <f>IF(AND(Late_Orders[[#This Row],[Order_Status]]="Late", Late_Orders[[#This Row],[Shipment_Delay]]&gt;=5),"Yes","No")</f>
        <v>Yes</v>
      </c>
    </row>
    <row r="203" spans="1:16" x14ac:dyDescent="0.25">
      <c r="A203" s="12" t="s">
        <v>489</v>
      </c>
      <c r="B203" s="13" t="s">
        <v>42</v>
      </c>
      <c r="C203" s="13" t="s">
        <v>25</v>
      </c>
      <c r="D203" s="13" t="s">
        <v>39</v>
      </c>
      <c r="E203" s="13" t="s">
        <v>26</v>
      </c>
      <c r="F203" s="23">
        <v>45730</v>
      </c>
      <c r="G203" s="23">
        <v>45735</v>
      </c>
      <c r="H203" s="23">
        <v>45736</v>
      </c>
      <c r="I203" s="23">
        <v>45740</v>
      </c>
      <c r="J203" s="13" t="s">
        <v>27</v>
      </c>
      <c r="K203" s="18">
        <v>172</v>
      </c>
      <c r="L203" s="13">
        <v>765.02</v>
      </c>
      <c r="M203" s="13">
        <v>131583.44</v>
      </c>
      <c r="N203" s="18">
        <v>6</v>
      </c>
      <c r="O203" s="21">
        <v>1</v>
      </c>
      <c r="P203" s="27" t="str">
        <f>IF(AND(Late_Orders[[#This Row],[Order_Status]]="Late", Late_Orders[[#This Row],[Shipment_Delay]]&gt;=5),"Yes","No")</f>
        <v>No</v>
      </c>
    </row>
    <row r="204" spans="1:16" x14ac:dyDescent="0.25">
      <c r="A204" s="12" t="s">
        <v>491</v>
      </c>
      <c r="B204" s="13" t="s">
        <v>48</v>
      </c>
      <c r="C204" s="13" t="s">
        <v>16</v>
      </c>
      <c r="D204" s="13" t="s">
        <v>22</v>
      </c>
      <c r="E204" s="13" t="s">
        <v>18</v>
      </c>
      <c r="F204" s="23">
        <v>45667</v>
      </c>
      <c r="G204" s="23">
        <v>45678</v>
      </c>
      <c r="H204" s="23">
        <v>45681</v>
      </c>
      <c r="I204" s="23">
        <v>45684</v>
      </c>
      <c r="J204" s="13" t="s">
        <v>27</v>
      </c>
      <c r="K204" s="18">
        <v>52</v>
      </c>
      <c r="L204" s="13">
        <v>146.38999999999999</v>
      </c>
      <c r="M204" s="13">
        <v>7612.28</v>
      </c>
      <c r="N204" s="18">
        <v>14</v>
      </c>
      <c r="O204" s="21">
        <v>3</v>
      </c>
      <c r="P204" s="27" t="str">
        <f>IF(AND(Late_Orders[[#This Row],[Order_Status]]="Late", Late_Orders[[#This Row],[Shipment_Delay]]&gt;=5),"Yes","No")</f>
        <v>No</v>
      </c>
    </row>
    <row r="205" spans="1:16" x14ac:dyDescent="0.25">
      <c r="A205" s="12" t="s">
        <v>492</v>
      </c>
      <c r="B205" s="13" t="s">
        <v>48</v>
      </c>
      <c r="C205" s="13" t="s">
        <v>43</v>
      </c>
      <c r="D205" s="13" t="s">
        <v>39</v>
      </c>
      <c r="E205" s="13" t="s">
        <v>31</v>
      </c>
      <c r="F205" s="23">
        <v>45761</v>
      </c>
      <c r="G205" s="23">
        <v>45769</v>
      </c>
      <c r="H205" s="23">
        <v>45772</v>
      </c>
      <c r="I205" s="23">
        <v>45773</v>
      </c>
      <c r="J205" s="13" t="s">
        <v>27</v>
      </c>
      <c r="K205" s="18">
        <v>127</v>
      </c>
      <c r="L205" s="13">
        <v>414.98</v>
      </c>
      <c r="M205" s="13">
        <v>52702.46</v>
      </c>
      <c r="N205" s="18">
        <v>11</v>
      </c>
      <c r="O205" s="21">
        <v>3</v>
      </c>
      <c r="P205" s="27" t="str">
        <f>IF(AND(Late_Orders[[#This Row],[Order_Status]]="Late", Late_Orders[[#This Row],[Shipment_Delay]]&gt;=5),"Yes","No")</f>
        <v>No</v>
      </c>
    </row>
    <row r="206" spans="1:16" x14ac:dyDescent="0.25">
      <c r="A206" s="12" t="s">
        <v>494</v>
      </c>
      <c r="B206" s="13" t="s">
        <v>56</v>
      </c>
      <c r="C206" s="13" t="s">
        <v>16</v>
      </c>
      <c r="D206" s="13" t="s">
        <v>22</v>
      </c>
      <c r="E206" s="13" t="s">
        <v>18</v>
      </c>
      <c r="F206" s="23">
        <v>45691</v>
      </c>
      <c r="G206" s="23">
        <v>45696</v>
      </c>
      <c r="H206" s="23">
        <v>45698</v>
      </c>
      <c r="I206" s="23">
        <v>45702</v>
      </c>
      <c r="J206" s="13" t="s">
        <v>27</v>
      </c>
      <c r="K206" s="18">
        <v>149</v>
      </c>
      <c r="L206" s="13">
        <v>547.41</v>
      </c>
      <c r="M206" s="13">
        <v>81564.09</v>
      </c>
      <c r="N206" s="18">
        <v>7</v>
      </c>
      <c r="O206" s="21">
        <v>2</v>
      </c>
      <c r="P206" s="27" t="str">
        <f>IF(AND(Late_Orders[[#This Row],[Order_Status]]="Late", Late_Orders[[#This Row],[Shipment_Delay]]&gt;=5),"Yes","No")</f>
        <v>No</v>
      </c>
    </row>
    <row r="207" spans="1:16" x14ac:dyDescent="0.25">
      <c r="A207" s="12" t="s">
        <v>497</v>
      </c>
      <c r="B207" s="13" t="s">
        <v>78</v>
      </c>
      <c r="C207" s="13" t="s">
        <v>30</v>
      </c>
      <c r="D207" s="13" t="s">
        <v>17</v>
      </c>
      <c r="E207" s="13" t="s">
        <v>63</v>
      </c>
      <c r="F207" s="23">
        <v>45683</v>
      </c>
      <c r="G207" s="23">
        <v>45694</v>
      </c>
      <c r="H207" s="23">
        <v>45699</v>
      </c>
      <c r="I207" s="23">
        <v>45704</v>
      </c>
      <c r="J207" s="13" t="s">
        <v>27</v>
      </c>
      <c r="K207" s="18">
        <v>43</v>
      </c>
      <c r="L207" s="13">
        <v>520.6</v>
      </c>
      <c r="M207" s="13">
        <v>22385.8</v>
      </c>
      <c r="N207" s="18">
        <v>16</v>
      </c>
      <c r="O207" s="21">
        <v>5</v>
      </c>
      <c r="P207" s="27" t="str">
        <f>IF(AND(Late_Orders[[#This Row],[Order_Status]]="Late", Late_Orders[[#This Row],[Shipment_Delay]]&gt;=5),"Yes","No")</f>
        <v>Yes</v>
      </c>
    </row>
    <row r="208" spans="1:16" x14ac:dyDescent="0.25">
      <c r="A208" s="12" t="s">
        <v>498</v>
      </c>
      <c r="B208" s="13" t="s">
        <v>78</v>
      </c>
      <c r="C208" s="13" t="s">
        <v>51</v>
      </c>
      <c r="D208" s="13" t="s">
        <v>39</v>
      </c>
      <c r="E208" s="13" t="s">
        <v>63</v>
      </c>
      <c r="F208" s="23">
        <v>45662</v>
      </c>
      <c r="G208" s="23">
        <v>45677</v>
      </c>
      <c r="H208" s="23">
        <v>45679</v>
      </c>
      <c r="I208" s="23">
        <v>45684</v>
      </c>
      <c r="J208" s="13" t="s">
        <v>27</v>
      </c>
      <c r="K208" s="18">
        <v>28</v>
      </c>
      <c r="L208" s="13">
        <v>417.67</v>
      </c>
      <c r="M208" s="13">
        <v>11694.76</v>
      </c>
      <c r="N208" s="18">
        <v>17</v>
      </c>
      <c r="O208" s="21">
        <v>2</v>
      </c>
      <c r="P208" s="27" t="str">
        <f>IF(AND(Late_Orders[[#This Row],[Order_Status]]="Late", Late_Orders[[#This Row],[Shipment_Delay]]&gt;=5),"Yes","No")</f>
        <v>No</v>
      </c>
    </row>
    <row r="209" spans="1:16" x14ac:dyDescent="0.25">
      <c r="A209" s="12" t="s">
        <v>499</v>
      </c>
      <c r="B209" s="13" t="s">
        <v>53</v>
      </c>
      <c r="C209" s="13" t="s">
        <v>21</v>
      </c>
      <c r="D209" s="13" t="s">
        <v>59</v>
      </c>
      <c r="E209" s="13" t="s">
        <v>63</v>
      </c>
      <c r="F209" s="23">
        <v>45711</v>
      </c>
      <c r="G209" s="23">
        <v>45719</v>
      </c>
      <c r="H209" s="23">
        <v>45724</v>
      </c>
      <c r="I209" s="23">
        <v>45725</v>
      </c>
      <c r="J209" s="13" t="s">
        <v>27</v>
      </c>
      <c r="K209" s="18">
        <v>114</v>
      </c>
      <c r="L209" s="13">
        <v>206.62</v>
      </c>
      <c r="M209" s="13">
        <v>23554.68</v>
      </c>
      <c r="N209" s="18">
        <v>13</v>
      </c>
      <c r="O209" s="21">
        <v>5</v>
      </c>
      <c r="P209" s="27" t="str">
        <f>IF(AND(Late_Orders[[#This Row],[Order_Status]]="Late", Late_Orders[[#This Row],[Shipment_Delay]]&gt;=5),"Yes","No")</f>
        <v>Yes</v>
      </c>
    </row>
    <row r="210" spans="1:16" x14ac:dyDescent="0.25">
      <c r="A210" s="12" t="s">
        <v>504</v>
      </c>
      <c r="B210" s="13" t="s">
        <v>38</v>
      </c>
      <c r="C210" s="13" t="s">
        <v>43</v>
      </c>
      <c r="D210" s="13" t="s">
        <v>35</v>
      </c>
      <c r="E210" s="13" t="s">
        <v>40</v>
      </c>
      <c r="F210" s="23">
        <v>45729</v>
      </c>
      <c r="G210" s="23">
        <v>45740</v>
      </c>
      <c r="H210" s="23">
        <v>45741</v>
      </c>
      <c r="I210" s="23">
        <v>45744</v>
      </c>
      <c r="J210" s="13" t="s">
        <v>27</v>
      </c>
      <c r="K210" s="18">
        <v>152</v>
      </c>
      <c r="L210" s="13">
        <v>302.54000000000002</v>
      </c>
      <c r="M210" s="13">
        <v>45986.080000000002</v>
      </c>
      <c r="N210" s="18">
        <v>12</v>
      </c>
      <c r="O210" s="21">
        <v>1</v>
      </c>
      <c r="P210" s="27" t="str">
        <f>IF(AND(Late_Orders[[#This Row],[Order_Status]]="Late", Late_Orders[[#This Row],[Shipment_Delay]]&gt;=5),"Yes","No")</f>
        <v>No</v>
      </c>
    </row>
    <row r="211" spans="1:16" x14ac:dyDescent="0.25">
      <c r="A211" s="12" t="s">
        <v>506</v>
      </c>
      <c r="B211" s="13" t="s">
        <v>38</v>
      </c>
      <c r="C211" s="13" t="s">
        <v>16</v>
      </c>
      <c r="D211" s="13" t="s">
        <v>35</v>
      </c>
      <c r="E211" s="13" t="s">
        <v>57</v>
      </c>
      <c r="F211" s="23">
        <v>45739</v>
      </c>
      <c r="G211" s="23">
        <v>45742</v>
      </c>
      <c r="H211" s="23">
        <v>45747</v>
      </c>
      <c r="I211" s="23">
        <v>45748</v>
      </c>
      <c r="J211" s="13" t="s">
        <v>27</v>
      </c>
      <c r="K211" s="18">
        <v>125</v>
      </c>
      <c r="L211" s="13">
        <v>788.09</v>
      </c>
      <c r="M211" s="13">
        <v>98511.25</v>
      </c>
      <c r="N211" s="18">
        <v>8</v>
      </c>
      <c r="O211" s="21">
        <v>5</v>
      </c>
      <c r="P211" s="27" t="str">
        <f>IF(AND(Late_Orders[[#This Row],[Order_Status]]="Late", Late_Orders[[#This Row],[Shipment_Delay]]&gt;=5),"Yes","No")</f>
        <v>Yes</v>
      </c>
    </row>
    <row r="212" spans="1:16" x14ac:dyDescent="0.25">
      <c r="A212" s="12" t="s">
        <v>508</v>
      </c>
      <c r="B212" s="13" t="s">
        <v>15</v>
      </c>
      <c r="C212" s="13" t="s">
        <v>25</v>
      </c>
      <c r="D212" s="13" t="s">
        <v>22</v>
      </c>
      <c r="E212" s="13" t="s">
        <v>31</v>
      </c>
      <c r="F212" s="23">
        <v>45757</v>
      </c>
      <c r="G212" s="23">
        <v>45762</v>
      </c>
      <c r="H212" s="23">
        <v>45765</v>
      </c>
      <c r="I212" s="23">
        <v>45769</v>
      </c>
      <c r="J212" s="13" t="s">
        <v>27</v>
      </c>
      <c r="K212" s="18">
        <v>56</v>
      </c>
      <c r="L212" s="13">
        <v>725.22</v>
      </c>
      <c r="M212" s="13">
        <v>40612.32</v>
      </c>
      <c r="N212" s="18">
        <v>8</v>
      </c>
      <c r="O212" s="21">
        <v>3</v>
      </c>
      <c r="P212" s="27" t="str">
        <f>IF(AND(Late_Orders[[#This Row],[Order_Status]]="Late", Late_Orders[[#This Row],[Shipment_Delay]]&gt;=5),"Yes","No")</f>
        <v>No</v>
      </c>
    </row>
    <row r="213" spans="1:16" x14ac:dyDescent="0.25">
      <c r="A213" s="12" t="s">
        <v>509</v>
      </c>
      <c r="B213" s="13" t="s">
        <v>29</v>
      </c>
      <c r="C213" s="13" t="s">
        <v>46</v>
      </c>
      <c r="D213" s="13" t="s">
        <v>22</v>
      </c>
      <c r="E213" s="13" t="s">
        <v>40</v>
      </c>
      <c r="F213" s="23">
        <v>45758</v>
      </c>
      <c r="G213" s="23">
        <v>45770</v>
      </c>
      <c r="H213" s="23">
        <v>45772</v>
      </c>
      <c r="I213" s="23">
        <v>45777</v>
      </c>
      <c r="J213" s="13" t="s">
        <v>27</v>
      </c>
      <c r="K213" s="18">
        <v>162</v>
      </c>
      <c r="L213" s="13">
        <v>156.52000000000001</v>
      </c>
      <c r="M213" s="13">
        <v>25356.240000000002</v>
      </c>
      <c r="N213" s="18">
        <v>14</v>
      </c>
      <c r="O213" s="21">
        <v>2</v>
      </c>
      <c r="P213" s="27" t="str">
        <f>IF(AND(Late_Orders[[#This Row],[Order_Status]]="Late", Late_Orders[[#This Row],[Shipment_Delay]]&gt;=5),"Yes","No")</f>
        <v>No</v>
      </c>
    </row>
    <row r="214" spans="1:16" x14ac:dyDescent="0.25">
      <c r="A214" s="12" t="s">
        <v>511</v>
      </c>
      <c r="B214" s="13" t="s">
        <v>56</v>
      </c>
      <c r="C214" s="13" t="s">
        <v>34</v>
      </c>
      <c r="D214" s="13" t="s">
        <v>17</v>
      </c>
      <c r="E214" s="13" t="s">
        <v>26</v>
      </c>
      <c r="F214" s="23">
        <v>45728</v>
      </c>
      <c r="G214" s="23">
        <v>45735</v>
      </c>
      <c r="H214" s="23">
        <v>45738</v>
      </c>
      <c r="I214" s="23">
        <v>45743</v>
      </c>
      <c r="J214" s="13" t="s">
        <v>27</v>
      </c>
      <c r="K214" s="18">
        <v>94</v>
      </c>
      <c r="L214" s="13">
        <v>305.14</v>
      </c>
      <c r="M214" s="13">
        <v>28683.16</v>
      </c>
      <c r="N214" s="18">
        <v>10</v>
      </c>
      <c r="O214" s="21">
        <v>3</v>
      </c>
      <c r="P214" s="27" t="str">
        <f>IF(AND(Late_Orders[[#This Row],[Order_Status]]="Late", Late_Orders[[#This Row],[Shipment_Delay]]&gt;=5),"Yes","No")</f>
        <v>No</v>
      </c>
    </row>
    <row r="215" spans="1:16" x14ac:dyDescent="0.25">
      <c r="A215" s="12" t="s">
        <v>512</v>
      </c>
      <c r="B215" s="13" t="s">
        <v>15</v>
      </c>
      <c r="C215" s="13" t="s">
        <v>16</v>
      </c>
      <c r="D215" s="13" t="s">
        <v>17</v>
      </c>
      <c r="E215" s="13" t="s">
        <v>57</v>
      </c>
      <c r="F215" s="23">
        <v>45716</v>
      </c>
      <c r="G215" s="23">
        <v>45725</v>
      </c>
      <c r="H215" s="23">
        <v>45727</v>
      </c>
      <c r="I215" s="23">
        <v>45728</v>
      </c>
      <c r="J215" s="13" t="s">
        <v>27</v>
      </c>
      <c r="K215" s="18">
        <v>109</v>
      </c>
      <c r="L215" s="13">
        <v>437.71</v>
      </c>
      <c r="M215" s="13">
        <v>47710.39</v>
      </c>
      <c r="N215" s="18">
        <v>11</v>
      </c>
      <c r="O215" s="21">
        <v>2</v>
      </c>
      <c r="P215" s="27" t="str">
        <f>IF(AND(Late_Orders[[#This Row],[Order_Status]]="Late", Late_Orders[[#This Row],[Shipment_Delay]]&gt;=5),"Yes","No")</f>
        <v>No</v>
      </c>
    </row>
    <row r="216" spans="1:16" x14ac:dyDescent="0.25">
      <c r="A216" s="12" t="s">
        <v>513</v>
      </c>
      <c r="B216" s="13" t="s">
        <v>48</v>
      </c>
      <c r="C216" s="13" t="s">
        <v>25</v>
      </c>
      <c r="D216" s="13" t="s">
        <v>39</v>
      </c>
      <c r="E216" s="13" t="s">
        <v>18</v>
      </c>
      <c r="F216" s="23">
        <v>45701</v>
      </c>
      <c r="G216" s="23">
        <v>45705</v>
      </c>
      <c r="H216" s="23">
        <v>45710</v>
      </c>
      <c r="I216" s="23">
        <v>45715</v>
      </c>
      <c r="J216" s="13" t="s">
        <v>27</v>
      </c>
      <c r="K216" s="18">
        <v>142</v>
      </c>
      <c r="L216" s="13">
        <v>693.98</v>
      </c>
      <c r="M216" s="13">
        <v>98545.16</v>
      </c>
      <c r="N216" s="18">
        <v>9</v>
      </c>
      <c r="O216" s="21">
        <v>5</v>
      </c>
      <c r="P216" s="27" t="str">
        <f>IF(AND(Late_Orders[[#This Row],[Order_Status]]="Late", Late_Orders[[#This Row],[Shipment_Delay]]&gt;=5),"Yes","No")</f>
        <v>Yes</v>
      </c>
    </row>
    <row r="217" spans="1:16" x14ac:dyDescent="0.25">
      <c r="A217" s="12" t="s">
        <v>514</v>
      </c>
      <c r="B217" s="13" t="s">
        <v>48</v>
      </c>
      <c r="C217" s="13" t="s">
        <v>51</v>
      </c>
      <c r="D217" s="13" t="s">
        <v>39</v>
      </c>
      <c r="E217" s="13" t="s">
        <v>31</v>
      </c>
      <c r="F217" s="23">
        <v>45730</v>
      </c>
      <c r="G217" s="23">
        <v>45740</v>
      </c>
      <c r="H217" s="23">
        <v>45745</v>
      </c>
      <c r="I217" s="23">
        <v>45747</v>
      </c>
      <c r="J217" s="13" t="s">
        <v>27</v>
      </c>
      <c r="K217" s="18">
        <v>122</v>
      </c>
      <c r="L217" s="13">
        <v>584.13</v>
      </c>
      <c r="M217" s="13">
        <v>71263.86</v>
      </c>
      <c r="N217" s="18">
        <v>15</v>
      </c>
      <c r="O217" s="21">
        <v>5</v>
      </c>
      <c r="P217" s="27" t="str">
        <f>IF(AND(Late_Orders[[#This Row],[Order_Status]]="Late", Late_Orders[[#This Row],[Shipment_Delay]]&gt;=5),"Yes","No")</f>
        <v>Yes</v>
      </c>
    </row>
    <row r="218" spans="1:16" x14ac:dyDescent="0.25">
      <c r="A218" s="12" t="s">
        <v>515</v>
      </c>
      <c r="B218" s="13" t="s">
        <v>38</v>
      </c>
      <c r="C218" s="13" t="s">
        <v>46</v>
      </c>
      <c r="D218" s="13" t="s">
        <v>17</v>
      </c>
      <c r="E218" s="13" t="s">
        <v>63</v>
      </c>
      <c r="F218" s="23">
        <v>45691</v>
      </c>
      <c r="G218" s="23">
        <v>45695</v>
      </c>
      <c r="H218" s="23">
        <v>45696</v>
      </c>
      <c r="I218" s="23">
        <v>45698</v>
      </c>
      <c r="J218" s="13" t="s">
        <v>27</v>
      </c>
      <c r="K218" s="18">
        <v>63</v>
      </c>
      <c r="L218" s="13">
        <v>683.13</v>
      </c>
      <c r="M218" s="13">
        <v>43037.19</v>
      </c>
      <c r="N218" s="18">
        <v>5</v>
      </c>
      <c r="O218" s="21">
        <v>1</v>
      </c>
      <c r="P218" s="27" t="str">
        <f>IF(AND(Late_Orders[[#This Row],[Order_Status]]="Late", Late_Orders[[#This Row],[Shipment_Delay]]&gt;=5),"Yes","No")</f>
        <v>No</v>
      </c>
    </row>
    <row r="219" spans="1:16" x14ac:dyDescent="0.25">
      <c r="A219" s="12" t="s">
        <v>516</v>
      </c>
      <c r="B219" s="13" t="s">
        <v>24</v>
      </c>
      <c r="C219" s="13" t="s">
        <v>16</v>
      </c>
      <c r="D219" s="13" t="s">
        <v>17</v>
      </c>
      <c r="E219" s="13" t="s">
        <v>26</v>
      </c>
      <c r="F219" s="23">
        <v>45659</v>
      </c>
      <c r="G219" s="23">
        <v>45673</v>
      </c>
      <c r="H219" s="23">
        <v>45678</v>
      </c>
      <c r="I219" s="23">
        <v>45681</v>
      </c>
      <c r="J219" s="13" t="s">
        <v>27</v>
      </c>
      <c r="K219" s="18">
        <v>28</v>
      </c>
      <c r="L219" s="13">
        <v>348.11</v>
      </c>
      <c r="M219" s="13">
        <v>9747.08</v>
      </c>
      <c r="N219" s="18">
        <v>19</v>
      </c>
      <c r="O219" s="21">
        <v>5</v>
      </c>
      <c r="P219" s="27" t="str">
        <f>IF(AND(Late_Orders[[#This Row],[Order_Status]]="Late", Late_Orders[[#This Row],[Shipment_Delay]]&gt;=5),"Yes","No")</f>
        <v>Yes</v>
      </c>
    </row>
    <row r="220" spans="1:16" x14ac:dyDescent="0.25">
      <c r="A220" s="12" t="s">
        <v>518</v>
      </c>
      <c r="B220" s="13" t="s">
        <v>48</v>
      </c>
      <c r="C220" s="13" t="s">
        <v>46</v>
      </c>
      <c r="D220" s="13" t="s">
        <v>22</v>
      </c>
      <c r="E220" s="13" t="s">
        <v>31</v>
      </c>
      <c r="F220" s="23">
        <v>45752</v>
      </c>
      <c r="G220" s="23">
        <v>45758</v>
      </c>
      <c r="H220" s="23">
        <v>45763</v>
      </c>
      <c r="I220" s="23">
        <v>45766</v>
      </c>
      <c r="J220" s="13" t="s">
        <v>27</v>
      </c>
      <c r="K220" s="18">
        <v>56</v>
      </c>
      <c r="L220" s="13">
        <v>712.18</v>
      </c>
      <c r="M220" s="13">
        <v>39882.080000000002</v>
      </c>
      <c r="N220" s="18">
        <v>11</v>
      </c>
      <c r="O220" s="21">
        <v>5</v>
      </c>
      <c r="P220" s="27" t="str">
        <f>IF(AND(Late_Orders[[#This Row],[Order_Status]]="Late", Late_Orders[[#This Row],[Shipment_Delay]]&gt;=5),"Yes","No")</f>
        <v>Yes</v>
      </c>
    </row>
    <row r="221" spans="1:16" x14ac:dyDescent="0.25">
      <c r="A221" s="12" t="s">
        <v>519</v>
      </c>
      <c r="B221" s="13" t="s">
        <v>29</v>
      </c>
      <c r="C221" s="13" t="s">
        <v>30</v>
      </c>
      <c r="D221" s="13" t="s">
        <v>59</v>
      </c>
      <c r="E221" s="13" t="s">
        <v>63</v>
      </c>
      <c r="F221" s="23">
        <v>45673</v>
      </c>
      <c r="G221" s="23">
        <v>45677</v>
      </c>
      <c r="H221" s="23">
        <v>45680</v>
      </c>
      <c r="I221" s="23">
        <v>45684</v>
      </c>
      <c r="J221" s="13" t="s">
        <v>27</v>
      </c>
      <c r="K221" s="18">
        <v>200</v>
      </c>
      <c r="L221" s="13">
        <v>730.67</v>
      </c>
      <c r="M221" s="13">
        <v>146134</v>
      </c>
      <c r="N221" s="18">
        <v>7</v>
      </c>
      <c r="O221" s="21">
        <v>3</v>
      </c>
      <c r="P221" s="27" t="str">
        <f>IF(AND(Late_Orders[[#This Row],[Order_Status]]="Late", Late_Orders[[#This Row],[Shipment_Delay]]&gt;=5),"Yes","No")</f>
        <v>No</v>
      </c>
    </row>
    <row r="222" spans="1:16" x14ac:dyDescent="0.25">
      <c r="A222" s="12" t="s">
        <v>520</v>
      </c>
      <c r="B222" s="13" t="s">
        <v>56</v>
      </c>
      <c r="C222" s="13" t="s">
        <v>21</v>
      </c>
      <c r="D222" s="13" t="s">
        <v>22</v>
      </c>
      <c r="E222" s="13" t="s">
        <v>63</v>
      </c>
      <c r="F222" s="23">
        <v>45698</v>
      </c>
      <c r="G222" s="23">
        <v>45708</v>
      </c>
      <c r="H222" s="23">
        <v>45710</v>
      </c>
      <c r="I222" s="23">
        <v>45713</v>
      </c>
      <c r="J222" s="13" t="s">
        <v>27</v>
      </c>
      <c r="K222" s="18">
        <v>200</v>
      </c>
      <c r="L222" s="13">
        <v>779.87</v>
      </c>
      <c r="M222" s="13">
        <v>155974</v>
      </c>
      <c r="N222" s="18">
        <v>12</v>
      </c>
      <c r="O222" s="21">
        <v>2</v>
      </c>
      <c r="P222" s="27" t="str">
        <f>IF(AND(Late_Orders[[#This Row],[Order_Status]]="Late", Late_Orders[[#This Row],[Shipment_Delay]]&gt;=5),"Yes","No")</f>
        <v>No</v>
      </c>
    </row>
    <row r="223" spans="1:16" x14ac:dyDescent="0.25">
      <c r="A223" s="12" t="s">
        <v>521</v>
      </c>
      <c r="B223" s="13" t="s">
        <v>24</v>
      </c>
      <c r="C223" s="13" t="s">
        <v>21</v>
      </c>
      <c r="D223" s="13" t="s">
        <v>22</v>
      </c>
      <c r="E223" s="13" t="s">
        <v>18</v>
      </c>
      <c r="F223" s="23">
        <v>45674</v>
      </c>
      <c r="G223" s="23">
        <v>45677</v>
      </c>
      <c r="H223" s="23">
        <v>45679</v>
      </c>
      <c r="I223" s="23">
        <v>45683</v>
      </c>
      <c r="J223" s="13" t="s">
        <v>27</v>
      </c>
      <c r="K223" s="18">
        <v>143</v>
      </c>
      <c r="L223" s="13">
        <v>42.19</v>
      </c>
      <c r="M223" s="13">
        <v>6033.17</v>
      </c>
      <c r="N223" s="18">
        <v>5</v>
      </c>
      <c r="O223" s="21">
        <v>2</v>
      </c>
      <c r="P223" s="27" t="str">
        <f>IF(AND(Late_Orders[[#This Row],[Order_Status]]="Late", Late_Orders[[#This Row],[Shipment_Delay]]&gt;=5),"Yes","No")</f>
        <v>No</v>
      </c>
    </row>
    <row r="224" spans="1:16" x14ac:dyDescent="0.25">
      <c r="A224" s="12" t="s">
        <v>522</v>
      </c>
      <c r="B224" s="13" t="s">
        <v>45</v>
      </c>
      <c r="C224" s="13" t="s">
        <v>21</v>
      </c>
      <c r="D224" s="13" t="s">
        <v>17</v>
      </c>
      <c r="E224" s="13" t="s">
        <v>31</v>
      </c>
      <c r="F224" s="23">
        <v>45673</v>
      </c>
      <c r="G224" s="23">
        <v>45687</v>
      </c>
      <c r="H224" s="23">
        <v>45689</v>
      </c>
      <c r="I224" s="23">
        <v>45693</v>
      </c>
      <c r="J224" s="13" t="s">
        <v>27</v>
      </c>
      <c r="K224" s="18">
        <v>7</v>
      </c>
      <c r="L224" s="13">
        <v>24.87</v>
      </c>
      <c r="M224" s="13">
        <v>174.09</v>
      </c>
      <c r="N224" s="18">
        <v>16</v>
      </c>
      <c r="O224" s="21">
        <v>2</v>
      </c>
      <c r="P224" s="27" t="str">
        <f>IF(AND(Late_Orders[[#This Row],[Order_Status]]="Late", Late_Orders[[#This Row],[Shipment_Delay]]&gt;=5),"Yes","No")</f>
        <v>No</v>
      </c>
    </row>
    <row r="225" spans="1:16" x14ac:dyDescent="0.25">
      <c r="A225" s="12" t="s">
        <v>525</v>
      </c>
      <c r="B225" s="13" t="s">
        <v>38</v>
      </c>
      <c r="C225" s="13" t="s">
        <v>34</v>
      </c>
      <c r="D225" s="13" t="s">
        <v>22</v>
      </c>
      <c r="E225" s="13" t="s">
        <v>40</v>
      </c>
      <c r="F225" s="23">
        <v>45687</v>
      </c>
      <c r="G225" s="23">
        <v>45691</v>
      </c>
      <c r="H225" s="23">
        <v>45694</v>
      </c>
      <c r="I225" s="23">
        <v>45697</v>
      </c>
      <c r="J225" s="13" t="s">
        <v>27</v>
      </c>
      <c r="K225" s="18">
        <v>147</v>
      </c>
      <c r="L225" s="13">
        <v>375.9</v>
      </c>
      <c r="M225" s="13">
        <v>55257.3</v>
      </c>
      <c r="N225" s="18">
        <v>7</v>
      </c>
      <c r="O225" s="21">
        <v>3</v>
      </c>
      <c r="P225" s="27" t="str">
        <f>IF(AND(Late_Orders[[#This Row],[Order_Status]]="Late", Late_Orders[[#This Row],[Shipment_Delay]]&gt;=5),"Yes","No")</f>
        <v>No</v>
      </c>
    </row>
    <row r="226" spans="1:16" x14ac:dyDescent="0.25">
      <c r="A226" s="12" t="s">
        <v>530</v>
      </c>
      <c r="B226" s="13" t="s">
        <v>38</v>
      </c>
      <c r="C226" s="13" t="s">
        <v>25</v>
      </c>
      <c r="D226" s="13" t="s">
        <v>39</v>
      </c>
      <c r="E226" s="13" t="s">
        <v>40</v>
      </c>
      <c r="F226" s="23">
        <v>45699</v>
      </c>
      <c r="G226" s="23">
        <v>45712</v>
      </c>
      <c r="H226" s="23">
        <v>45714</v>
      </c>
      <c r="I226" s="23">
        <v>45718</v>
      </c>
      <c r="J226" s="13" t="s">
        <v>27</v>
      </c>
      <c r="K226" s="18">
        <v>119</v>
      </c>
      <c r="L226" s="13">
        <v>757.84</v>
      </c>
      <c r="M226" s="13">
        <v>90182.96</v>
      </c>
      <c r="N226" s="18">
        <v>15</v>
      </c>
      <c r="O226" s="21">
        <v>2</v>
      </c>
      <c r="P226" s="27" t="str">
        <f>IF(AND(Late_Orders[[#This Row],[Order_Status]]="Late", Late_Orders[[#This Row],[Shipment_Delay]]&gt;=5),"Yes","No")</f>
        <v>No</v>
      </c>
    </row>
    <row r="227" spans="1:16" x14ac:dyDescent="0.25">
      <c r="A227" s="12" t="s">
        <v>531</v>
      </c>
      <c r="B227" s="13" t="s">
        <v>42</v>
      </c>
      <c r="C227" s="13" t="s">
        <v>16</v>
      </c>
      <c r="D227" s="13" t="s">
        <v>22</v>
      </c>
      <c r="E227" s="13" t="s">
        <v>57</v>
      </c>
      <c r="F227" s="23">
        <v>45676</v>
      </c>
      <c r="G227" s="23">
        <v>45681</v>
      </c>
      <c r="H227" s="23">
        <v>45684</v>
      </c>
      <c r="I227" s="23">
        <v>45687</v>
      </c>
      <c r="J227" s="13" t="s">
        <v>27</v>
      </c>
      <c r="K227" s="18">
        <v>161</v>
      </c>
      <c r="L227" s="13">
        <v>492.32</v>
      </c>
      <c r="M227" s="13">
        <v>79263.520000000004</v>
      </c>
      <c r="N227" s="18">
        <v>8</v>
      </c>
      <c r="O227" s="21">
        <v>3</v>
      </c>
      <c r="P227" s="27" t="str">
        <f>IF(AND(Late_Orders[[#This Row],[Order_Status]]="Late", Late_Orders[[#This Row],[Shipment_Delay]]&gt;=5),"Yes","No")</f>
        <v>No</v>
      </c>
    </row>
    <row r="228" spans="1:16" x14ac:dyDescent="0.25">
      <c r="A228" s="12" t="s">
        <v>535</v>
      </c>
      <c r="B228" s="13" t="s">
        <v>53</v>
      </c>
      <c r="C228" s="13" t="s">
        <v>43</v>
      </c>
      <c r="D228" s="13" t="s">
        <v>22</v>
      </c>
      <c r="E228" s="13" t="s">
        <v>63</v>
      </c>
      <c r="F228" s="23">
        <v>45677</v>
      </c>
      <c r="G228" s="23">
        <v>45681</v>
      </c>
      <c r="H228" s="23">
        <v>45684</v>
      </c>
      <c r="I228" s="23">
        <v>45688</v>
      </c>
      <c r="J228" s="13" t="s">
        <v>27</v>
      </c>
      <c r="K228" s="18">
        <v>68</v>
      </c>
      <c r="L228" s="13">
        <v>630.89</v>
      </c>
      <c r="M228" s="13">
        <v>42900.52</v>
      </c>
      <c r="N228" s="18">
        <v>7</v>
      </c>
      <c r="O228" s="21">
        <v>3</v>
      </c>
      <c r="P228" s="27" t="str">
        <f>IF(AND(Late_Orders[[#This Row],[Order_Status]]="Late", Late_Orders[[#This Row],[Shipment_Delay]]&gt;=5),"Yes","No")</f>
        <v>No</v>
      </c>
    </row>
    <row r="229" spans="1:16" x14ac:dyDescent="0.25">
      <c r="A229" s="12" t="s">
        <v>537</v>
      </c>
      <c r="B229" s="13" t="s">
        <v>48</v>
      </c>
      <c r="C229" s="13" t="s">
        <v>21</v>
      </c>
      <c r="D229" s="13" t="s">
        <v>17</v>
      </c>
      <c r="E229" s="13" t="s">
        <v>40</v>
      </c>
      <c r="F229" s="23">
        <v>45675</v>
      </c>
      <c r="G229" s="23">
        <v>45689</v>
      </c>
      <c r="H229" s="23">
        <v>45691</v>
      </c>
      <c r="I229" s="23">
        <v>45693</v>
      </c>
      <c r="J229" s="13" t="s">
        <v>27</v>
      </c>
      <c r="K229" s="18">
        <v>121</v>
      </c>
      <c r="L229" s="13">
        <v>541.91999999999996</v>
      </c>
      <c r="M229" s="13">
        <v>65572.320000000007</v>
      </c>
      <c r="N229" s="18">
        <v>16</v>
      </c>
      <c r="O229" s="21">
        <v>2</v>
      </c>
      <c r="P229" s="27" t="str">
        <f>IF(AND(Late_Orders[[#This Row],[Order_Status]]="Late", Late_Orders[[#This Row],[Shipment_Delay]]&gt;=5),"Yes","No")</f>
        <v>No</v>
      </c>
    </row>
    <row r="230" spans="1:16" x14ac:dyDescent="0.25">
      <c r="A230" s="12" t="s">
        <v>540</v>
      </c>
      <c r="B230" s="13" t="s">
        <v>45</v>
      </c>
      <c r="C230" s="13" t="s">
        <v>21</v>
      </c>
      <c r="D230" s="13" t="s">
        <v>17</v>
      </c>
      <c r="E230" s="13" t="s">
        <v>18</v>
      </c>
      <c r="F230" s="23">
        <v>45756</v>
      </c>
      <c r="G230" s="23">
        <v>45765</v>
      </c>
      <c r="H230" s="23">
        <v>45770</v>
      </c>
      <c r="I230" s="23">
        <v>45773</v>
      </c>
      <c r="J230" s="13" t="s">
        <v>27</v>
      </c>
      <c r="K230" s="18">
        <v>6</v>
      </c>
      <c r="L230" s="13">
        <v>472.76</v>
      </c>
      <c r="M230" s="13">
        <v>2836.56</v>
      </c>
      <c r="N230" s="18">
        <v>14</v>
      </c>
      <c r="O230" s="21">
        <v>5</v>
      </c>
      <c r="P230" s="27" t="str">
        <f>IF(AND(Late_Orders[[#This Row],[Order_Status]]="Late", Late_Orders[[#This Row],[Shipment_Delay]]&gt;=5),"Yes","No")</f>
        <v>Yes</v>
      </c>
    </row>
    <row r="231" spans="1:16" x14ac:dyDescent="0.25">
      <c r="A231" s="12" t="s">
        <v>542</v>
      </c>
      <c r="B231" s="13" t="s">
        <v>56</v>
      </c>
      <c r="C231" s="13" t="s">
        <v>16</v>
      </c>
      <c r="D231" s="13" t="s">
        <v>39</v>
      </c>
      <c r="E231" s="13" t="s">
        <v>63</v>
      </c>
      <c r="F231" s="23">
        <v>45753</v>
      </c>
      <c r="G231" s="23">
        <v>45764</v>
      </c>
      <c r="H231" s="23">
        <v>45769</v>
      </c>
      <c r="I231" s="23">
        <v>45772</v>
      </c>
      <c r="J231" s="13" t="s">
        <v>27</v>
      </c>
      <c r="K231" s="18">
        <v>22</v>
      </c>
      <c r="L231" s="13">
        <v>167.31</v>
      </c>
      <c r="M231" s="13">
        <v>3680.82</v>
      </c>
      <c r="N231" s="18">
        <v>16</v>
      </c>
      <c r="O231" s="21">
        <v>5</v>
      </c>
      <c r="P231" s="27" t="str">
        <f>IF(AND(Late_Orders[[#This Row],[Order_Status]]="Late", Late_Orders[[#This Row],[Shipment_Delay]]&gt;=5),"Yes","No")</f>
        <v>Yes</v>
      </c>
    </row>
    <row r="232" spans="1:16" x14ac:dyDescent="0.25">
      <c r="A232" s="12" t="s">
        <v>543</v>
      </c>
      <c r="B232" s="13" t="s">
        <v>29</v>
      </c>
      <c r="C232" s="13" t="s">
        <v>51</v>
      </c>
      <c r="D232" s="13" t="s">
        <v>22</v>
      </c>
      <c r="E232" s="13" t="s">
        <v>31</v>
      </c>
      <c r="F232" s="23">
        <v>45715</v>
      </c>
      <c r="G232" s="23">
        <v>45722</v>
      </c>
      <c r="H232" s="23">
        <v>45725</v>
      </c>
      <c r="I232" s="23">
        <v>45730</v>
      </c>
      <c r="J232" s="13" t="s">
        <v>27</v>
      </c>
      <c r="K232" s="18">
        <v>87</v>
      </c>
      <c r="L232" s="13">
        <v>31.2</v>
      </c>
      <c r="M232" s="13">
        <v>2714.4</v>
      </c>
      <c r="N232" s="18">
        <v>10</v>
      </c>
      <c r="O232" s="21">
        <v>3</v>
      </c>
      <c r="P232" s="27" t="str">
        <f>IF(AND(Late_Orders[[#This Row],[Order_Status]]="Late", Late_Orders[[#This Row],[Shipment_Delay]]&gt;=5),"Yes","No")</f>
        <v>No</v>
      </c>
    </row>
    <row r="233" spans="1:16" x14ac:dyDescent="0.25">
      <c r="A233" s="12" t="s">
        <v>545</v>
      </c>
      <c r="B233" s="13" t="s">
        <v>78</v>
      </c>
      <c r="C233" s="13" t="s">
        <v>51</v>
      </c>
      <c r="D233" s="13" t="s">
        <v>59</v>
      </c>
      <c r="E233" s="13" t="s">
        <v>18</v>
      </c>
      <c r="F233" s="23">
        <v>45758</v>
      </c>
      <c r="G233" s="23">
        <v>45773</v>
      </c>
      <c r="H233" s="23">
        <v>45774</v>
      </c>
      <c r="I233" s="23">
        <v>45777</v>
      </c>
      <c r="J233" s="13" t="s">
        <v>27</v>
      </c>
      <c r="K233" s="18">
        <v>13</v>
      </c>
      <c r="L233" s="13">
        <v>290.76</v>
      </c>
      <c r="M233" s="13">
        <v>3779.88</v>
      </c>
      <c r="N233" s="18">
        <v>16</v>
      </c>
      <c r="O233" s="21">
        <v>1</v>
      </c>
      <c r="P233" s="27" t="str">
        <f>IF(AND(Late_Orders[[#This Row],[Order_Status]]="Late", Late_Orders[[#This Row],[Shipment_Delay]]&gt;=5),"Yes","No")</f>
        <v>No</v>
      </c>
    </row>
    <row r="234" spans="1:16" x14ac:dyDescent="0.25">
      <c r="A234" s="12" t="s">
        <v>550</v>
      </c>
      <c r="B234" s="13" t="s">
        <v>42</v>
      </c>
      <c r="C234" s="13" t="s">
        <v>34</v>
      </c>
      <c r="D234" s="13" t="s">
        <v>22</v>
      </c>
      <c r="E234" s="13" t="s">
        <v>18</v>
      </c>
      <c r="F234" s="23">
        <v>45732</v>
      </c>
      <c r="G234" s="23">
        <v>45747</v>
      </c>
      <c r="H234" s="23">
        <v>45750</v>
      </c>
      <c r="I234" s="23">
        <v>45754</v>
      </c>
      <c r="J234" s="13" t="s">
        <v>27</v>
      </c>
      <c r="K234" s="18">
        <v>44</v>
      </c>
      <c r="L234" s="13">
        <v>325.12</v>
      </c>
      <c r="M234" s="13">
        <v>14305.28</v>
      </c>
      <c r="N234" s="18">
        <v>18</v>
      </c>
      <c r="O234" s="21">
        <v>3</v>
      </c>
      <c r="P234" s="27" t="str">
        <f>IF(AND(Late_Orders[[#This Row],[Order_Status]]="Late", Late_Orders[[#This Row],[Shipment_Delay]]&gt;=5),"Yes","No")</f>
        <v>No</v>
      </c>
    </row>
    <row r="235" spans="1:16" x14ac:dyDescent="0.25">
      <c r="A235" s="12" t="s">
        <v>551</v>
      </c>
      <c r="B235" s="13" t="s">
        <v>29</v>
      </c>
      <c r="C235" s="13" t="s">
        <v>46</v>
      </c>
      <c r="D235" s="13" t="s">
        <v>22</v>
      </c>
      <c r="E235" s="13" t="s">
        <v>40</v>
      </c>
      <c r="F235" s="23">
        <v>45669</v>
      </c>
      <c r="G235" s="23">
        <v>45682</v>
      </c>
      <c r="H235" s="23">
        <v>45684</v>
      </c>
      <c r="I235" s="23">
        <v>45687</v>
      </c>
      <c r="J235" s="13" t="s">
        <v>27</v>
      </c>
      <c r="K235" s="18">
        <v>199</v>
      </c>
      <c r="L235" s="13">
        <v>536.99</v>
      </c>
      <c r="M235" s="13">
        <v>106861.01</v>
      </c>
      <c r="N235" s="18">
        <v>15</v>
      </c>
      <c r="O235" s="21">
        <v>2</v>
      </c>
      <c r="P235" s="27" t="str">
        <f>IF(AND(Late_Orders[[#This Row],[Order_Status]]="Late", Late_Orders[[#This Row],[Shipment_Delay]]&gt;=5),"Yes","No")</f>
        <v>No</v>
      </c>
    </row>
    <row r="236" spans="1:16" x14ac:dyDescent="0.25">
      <c r="A236" s="12" t="s">
        <v>554</v>
      </c>
      <c r="B236" s="13" t="s">
        <v>56</v>
      </c>
      <c r="C236" s="13" t="s">
        <v>43</v>
      </c>
      <c r="D236" s="13" t="s">
        <v>35</v>
      </c>
      <c r="E236" s="13" t="s">
        <v>63</v>
      </c>
      <c r="F236" s="23">
        <v>45720</v>
      </c>
      <c r="G236" s="23">
        <v>45726</v>
      </c>
      <c r="H236" s="23">
        <v>45728</v>
      </c>
      <c r="I236" s="23">
        <v>45730</v>
      </c>
      <c r="J236" s="13" t="s">
        <v>27</v>
      </c>
      <c r="K236" s="18">
        <v>87</v>
      </c>
      <c r="L236" s="13">
        <v>626.55999999999995</v>
      </c>
      <c r="M236" s="13">
        <v>54510.720000000001</v>
      </c>
      <c r="N236" s="18">
        <v>8</v>
      </c>
      <c r="O236" s="21">
        <v>2</v>
      </c>
      <c r="P236" s="27" t="str">
        <f>IF(AND(Late_Orders[[#This Row],[Order_Status]]="Late", Late_Orders[[#This Row],[Shipment_Delay]]&gt;=5),"Yes","No")</f>
        <v>No</v>
      </c>
    </row>
    <row r="237" spans="1:16" x14ac:dyDescent="0.25">
      <c r="A237" s="12" t="s">
        <v>563</v>
      </c>
      <c r="B237" s="13" t="s">
        <v>78</v>
      </c>
      <c r="C237" s="13" t="s">
        <v>43</v>
      </c>
      <c r="D237" s="13" t="s">
        <v>17</v>
      </c>
      <c r="E237" s="13" t="s">
        <v>18</v>
      </c>
      <c r="F237" s="23">
        <v>45731</v>
      </c>
      <c r="G237" s="23">
        <v>45739</v>
      </c>
      <c r="H237" s="23">
        <v>45742</v>
      </c>
      <c r="I237" s="23">
        <v>45746</v>
      </c>
      <c r="J237" s="13" t="s">
        <v>27</v>
      </c>
      <c r="K237" s="18">
        <v>114</v>
      </c>
      <c r="L237" s="13">
        <v>752.16</v>
      </c>
      <c r="M237" s="13">
        <v>85746.240000000005</v>
      </c>
      <c r="N237" s="18">
        <v>11</v>
      </c>
      <c r="O237" s="21">
        <v>3</v>
      </c>
      <c r="P237" s="27" t="str">
        <f>IF(AND(Late_Orders[[#This Row],[Order_Status]]="Late", Late_Orders[[#This Row],[Shipment_Delay]]&gt;=5),"Yes","No")</f>
        <v>No</v>
      </c>
    </row>
    <row r="238" spans="1:16" x14ac:dyDescent="0.25">
      <c r="A238" s="12" t="s">
        <v>564</v>
      </c>
      <c r="B238" s="13" t="s">
        <v>24</v>
      </c>
      <c r="C238" s="13" t="s">
        <v>46</v>
      </c>
      <c r="D238" s="13" t="s">
        <v>17</v>
      </c>
      <c r="E238" s="13" t="s">
        <v>57</v>
      </c>
      <c r="F238" s="23">
        <v>45722</v>
      </c>
      <c r="G238" s="23">
        <v>45730</v>
      </c>
      <c r="H238" s="23">
        <v>45733</v>
      </c>
      <c r="I238" s="23">
        <v>45735</v>
      </c>
      <c r="J238" s="13" t="s">
        <v>27</v>
      </c>
      <c r="K238" s="18">
        <v>158</v>
      </c>
      <c r="L238" s="13">
        <v>384.92</v>
      </c>
      <c r="M238" s="13">
        <v>60817.36</v>
      </c>
      <c r="N238" s="18">
        <v>11</v>
      </c>
      <c r="O238" s="21">
        <v>3</v>
      </c>
      <c r="P238" s="27" t="str">
        <f>IF(AND(Late_Orders[[#This Row],[Order_Status]]="Late", Late_Orders[[#This Row],[Shipment_Delay]]&gt;=5),"Yes","No")</f>
        <v>No</v>
      </c>
    </row>
    <row r="239" spans="1:16" x14ac:dyDescent="0.25">
      <c r="A239" s="12" t="s">
        <v>565</v>
      </c>
      <c r="B239" s="13" t="s">
        <v>48</v>
      </c>
      <c r="C239" s="13" t="s">
        <v>34</v>
      </c>
      <c r="D239" s="13" t="s">
        <v>39</v>
      </c>
      <c r="E239" s="13" t="s">
        <v>63</v>
      </c>
      <c r="F239" s="23">
        <v>45766</v>
      </c>
      <c r="G239" s="23">
        <v>45774</v>
      </c>
      <c r="H239" s="23">
        <v>45775</v>
      </c>
      <c r="I239" s="23">
        <v>45779</v>
      </c>
      <c r="J239" s="13" t="s">
        <v>27</v>
      </c>
      <c r="K239" s="18">
        <v>87</v>
      </c>
      <c r="L239" s="13">
        <v>523.03</v>
      </c>
      <c r="M239" s="13">
        <v>45503.61</v>
      </c>
      <c r="N239" s="18">
        <v>9</v>
      </c>
      <c r="O239" s="21">
        <v>1</v>
      </c>
      <c r="P239" s="27" t="str">
        <f>IF(AND(Late_Orders[[#This Row],[Order_Status]]="Late", Late_Orders[[#This Row],[Shipment_Delay]]&gt;=5),"Yes","No")</f>
        <v>No</v>
      </c>
    </row>
    <row r="240" spans="1:16" x14ac:dyDescent="0.25">
      <c r="A240" s="12" t="s">
        <v>570</v>
      </c>
      <c r="B240" s="13" t="s">
        <v>56</v>
      </c>
      <c r="C240" s="13" t="s">
        <v>51</v>
      </c>
      <c r="D240" s="13" t="s">
        <v>17</v>
      </c>
      <c r="E240" s="13" t="s">
        <v>18</v>
      </c>
      <c r="F240" s="23">
        <v>45720</v>
      </c>
      <c r="G240" s="23">
        <v>45734</v>
      </c>
      <c r="H240" s="23">
        <v>45737</v>
      </c>
      <c r="I240" s="23">
        <v>45742</v>
      </c>
      <c r="J240" s="13" t="s">
        <v>27</v>
      </c>
      <c r="K240" s="18">
        <v>29</v>
      </c>
      <c r="L240" s="13">
        <v>512.02</v>
      </c>
      <c r="M240" s="13">
        <v>14848.58</v>
      </c>
      <c r="N240" s="18">
        <v>17</v>
      </c>
      <c r="O240" s="21">
        <v>3</v>
      </c>
      <c r="P240" s="27" t="str">
        <f>IF(AND(Late_Orders[[#This Row],[Order_Status]]="Late", Late_Orders[[#This Row],[Shipment_Delay]]&gt;=5),"Yes","No")</f>
        <v>No</v>
      </c>
    </row>
    <row r="241" spans="1:16" x14ac:dyDescent="0.25">
      <c r="A241" s="12" t="s">
        <v>575</v>
      </c>
      <c r="B241" s="13" t="s">
        <v>53</v>
      </c>
      <c r="C241" s="13" t="s">
        <v>21</v>
      </c>
      <c r="D241" s="13" t="s">
        <v>17</v>
      </c>
      <c r="E241" s="13" t="s">
        <v>26</v>
      </c>
      <c r="F241" s="23">
        <v>45709</v>
      </c>
      <c r="G241" s="23">
        <v>45720</v>
      </c>
      <c r="H241" s="23">
        <v>45721</v>
      </c>
      <c r="I241" s="23">
        <v>45723</v>
      </c>
      <c r="J241" s="13" t="s">
        <v>27</v>
      </c>
      <c r="K241" s="18">
        <v>128</v>
      </c>
      <c r="L241" s="13">
        <v>482.01</v>
      </c>
      <c r="M241" s="13">
        <v>61697.279999999999</v>
      </c>
      <c r="N241" s="18">
        <v>12</v>
      </c>
      <c r="O241" s="21">
        <v>1</v>
      </c>
      <c r="P241" s="27" t="str">
        <f>IF(AND(Late_Orders[[#This Row],[Order_Status]]="Late", Late_Orders[[#This Row],[Shipment_Delay]]&gt;=5),"Yes","No")</f>
        <v>No</v>
      </c>
    </row>
    <row r="242" spans="1:16" x14ac:dyDescent="0.25">
      <c r="A242" s="12" t="s">
        <v>576</v>
      </c>
      <c r="B242" s="13" t="s">
        <v>38</v>
      </c>
      <c r="C242" s="13" t="s">
        <v>46</v>
      </c>
      <c r="D242" s="13" t="s">
        <v>17</v>
      </c>
      <c r="E242" s="13" t="s">
        <v>31</v>
      </c>
      <c r="F242" s="23">
        <v>45729</v>
      </c>
      <c r="G242" s="23">
        <v>45741</v>
      </c>
      <c r="H242" s="23">
        <v>45744</v>
      </c>
      <c r="I242" s="23">
        <v>45749</v>
      </c>
      <c r="J242" s="13" t="s">
        <v>27</v>
      </c>
      <c r="K242" s="18">
        <v>23</v>
      </c>
      <c r="L242" s="13">
        <v>237.32</v>
      </c>
      <c r="M242" s="13">
        <v>5458.36</v>
      </c>
      <c r="N242" s="18">
        <v>15</v>
      </c>
      <c r="O242" s="21">
        <v>3</v>
      </c>
      <c r="P242" s="27" t="str">
        <f>IF(AND(Late_Orders[[#This Row],[Order_Status]]="Late", Late_Orders[[#This Row],[Shipment_Delay]]&gt;=5),"Yes","No")</f>
        <v>No</v>
      </c>
    </row>
    <row r="243" spans="1:16" x14ac:dyDescent="0.25">
      <c r="A243" s="12" t="s">
        <v>577</v>
      </c>
      <c r="B243" s="13" t="s">
        <v>48</v>
      </c>
      <c r="C243" s="13" t="s">
        <v>51</v>
      </c>
      <c r="D243" s="13" t="s">
        <v>59</v>
      </c>
      <c r="E243" s="13" t="s">
        <v>26</v>
      </c>
      <c r="F243" s="23">
        <v>45672</v>
      </c>
      <c r="G243" s="23">
        <v>45685</v>
      </c>
      <c r="H243" s="23">
        <v>45686</v>
      </c>
      <c r="I243" s="23">
        <v>45690</v>
      </c>
      <c r="J243" s="13" t="s">
        <v>27</v>
      </c>
      <c r="K243" s="18">
        <v>53</v>
      </c>
      <c r="L243" s="13">
        <v>282.82</v>
      </c>
      <c r="M243" s="13">
        <v>14989.46</v>
      </c>
      <c r="N243" s="18">
        <v>14</v>
      </c>
      <c r="O243" s="21">
        <v>1</v>
      </c>
      <c r="P243" s="27" t="str">
        <f>IF(AND(Late_Orders[[#This Row],[Order_Status]]="Late", Late_Orders[[#This Row],[Shipment_Delay]]&gt;=5),"Yes","No")</f>
        <v>No</v>
      </c>
    </row>
    <row r="244" spans="1:16" x14ac:dyDescent="0.25">
      <c r="A244" s="12" t="s">
        <v>578</v>
      </c>
      <c r="B244" s="13" t="s">
        <v>45</v>
      </c>
      <c r="C244" s="13" t="s">
        <v>34</v>
      </c>
      <c r="D244" s="13" t="s">
        <v>59</v>
      </c>
      <c r="E244" s="13" t="s">
        <v>26</v>
      </c>
      <c r="F244" s="23">
        <v>45702</v>
      </c>
      <c r="G244" s="23">
        <v>45714</v>
      </c>
      <c r="H244" s="23">
        <v>45719</v>
      </c>
      <c r="I244" s="23">
        <v>45723</v>
      </c>
      <c r="J244" s="13" t="s">
        <v>27</v>
      </c>
      <c r="K244" s="18">
        <v>117</v>
      </c>
      <c r="L244" s="13">
        <v>52.47</v>
      </c>
      <c r="M244" s="13">
        <v>6138.99</v>
      </c>
      <c r="N244" s="18">
        <v>17</v>
      </c>
      <c r="O244" s="21">
        <v>5</v>
      </c>
      <c r="P244" s="27" t="str">
        <f>IF(AND(Late_Orders[[#This Row],[Order_Status]]="Late", Late_Orders[[#This Row],[Shipment_Delay]]&gt;=5),"Yes","No")</f>
        <v>Yes</v>
      </c>
    </row>
    <row r="245" spans="1:16" x14ac:dyDescent="0.25">
      <c r="A245" s="12" t="s">
        <v>580</v>
      </c>
      <c r="B245" s="13" t="s">
        <v>45</v>
      </c>
      <c r="C245" s="13" t="s">
        <v>34</v>
      </c>
      <c r="D245" s="13" t="s">
        <v>22</v>
      </c>
      <c r="E245" s="13" t="s">
        <v>63</v>
      </c>
      <c r="F245" s="23">
        <v>45701</v>
      </c>
      <c r="G245" s="23">
        <v>45715</v>
      </c>
      <c r="H245" s="23">
        <v>45720</v>
      </c>
      <c r="I245" s="23">
        <v>45721</v>
      </c>
      <c r="J245" s="13" t="s">
        <v>27</v>
      </c>
      <c r="K245" s="18">
        <v>125</v>
      </c>
      <c r="L245" s="13">
        <v>33.99</v>
      </c>
      <c r="M245" s="13">
        <v>4248.75</v>
      </c>
      <c r="N245" s="18">
        <v>19</v>
      </c>
      <c r="O245" s="21">
        <v>5</v>
      </c>
      <c r="P245" s="27" t="str">
        <f>IF(AND(Late_Orders[[#This Row],[Order_Status]]="Late", Late_Orders[[#This Row],[Shipment_Delay]]&gt;=5),"Yes","No")</f>
        <v>Yes</v>
      </c>
    </row>
    <row r="246" spans="1:16" x14ac:dyDescent="0.25">
      <c r="A246" s="12" t="s">
        <v>586</v>
      </c>
      <c r="B246" s="13" t="s">
        <v>29</v>
      </c>
      <c r="C246" s="13" t="s">
        <v>25</v>
      </c>
      <c r="D246" s="13" t="s">
        <v>22</v>
      </c>
      <c r="E246" s="13" t="s">
        <v>26</v>
      </c>
      <c r="F246" s="23">
        <v>45722</v>
      </c>
      <c r="G246" s="23">
        <v>45729</v>
      </c>
      <c r="H246" s="23">
        <v>45734</v>
      </c>
      <c r="I246" s="23">
        <v>45735</v>
      </c>
      <c r="J246" s="13" t="s">
        <v>27</v>
      </c>
      <c r="K246" s="18">
        <v>104</v>
      </c>
      <c r="L246" s="13">
        <v>758.49</v>
      </c>
      <c r="M246" s="13">
        <v>78882.960000000006</v>
      </c>
      <c r="N246" s="18">
        <v>12</v>
      </c>
      <c r="O246" s="21">
        <v>5</v>
      </c>
      <c r="P246" s="27" t="str">
        <f>IF(AND(Late_Orders[[#This Row],[Order_Status]]="Late", Late_Orders[[#This Row],[Shipment_Delay]]&gt;=5),"Yes","No")</f>
        <v>Yes</v>
      </c>
    </row>
    <row r="247" spans="1:16" x14ac:dyDescent="0.25">
      <c r="A247" s="12" t="s">
        <v>588</v>
      </c>
      <c r="B247" s="13" t="s">
        <v>78</v>
      </c>
      <c r="C247" s="13" t="s">
        <v>34</v>
      </c>
      <c r="D247" s="13" t="s">
        <v>22</v>
      </c>
      <c r="E247" s="13" t="s">
        <v>63</v>
      </c>
      <c r="F247" s="23">
        <v>45731</v>
      </c>
      <c r="G247" s="23">
        <v>45736</v>
      </c>
      <c r="H247" s="23">
        <v>45737</v>
      </c>
      <c r="I247" s="23">
        <v>45740</v>
      </c>
      <c r="J247" s="13" t="s">
        <v>27</v>
      </c>
      <c r="K247" s="18">
        <v>89</v>
      </c>
      <c r="L247" s="13">
        <v>390.06</v>
      </c>
      <c r="M247" s="13">
        <v>34715.339999999997</v>
      </c>
      <c r="N247" s="18">
        <v>6</v>
      </c>
      <c r="O247" s="21">
        <v>1</v>
      </c>
      <c r="P247" s="27" t="str">
        <f>IF(AND(Late_Orders[[#This Row],[Order_Status]]="Late", Late_Orders[[#This Row],[Shipment_Delay]]&gt;=5),"Yes","No")</f>
        <v>No</v>
      </c>
    </row>
    <row r="248" spans="1:16" x14ac:dyDescent="0.25">
      <c r="A248" s="12" t="s">
        <v>589</v>
      </c>
      <c r="B248" s="13" t="s">
        <v>15</v>
      </c>
      <c r="C248" s="13" t="s">
        <v>43</v>
      </c>
      <c r="D248" s="13" t="s">
        <v>39</v>
      </c>
      <c r="E248" s="13" t="s">
        <v>26</v>
      </c>
      <c r="F248" s="23">
        <v>45727</v>
      </c>
      <c r="G248" s="23">
        <v>45740</v>
      </c>
      <c r="H248" s="23">
        <v>45745</v>
      </c>
      <c r="I248" s="23">
        <v>45747</v>
      </c>
      <c r="J248" s="13" t="s">
        <v>27</v>
      </c>
      <c r="K248" s="18">
        <v>84</v>
      </c>
      <c r="L248" s="13">
        <v>589.91999999999996</v>
      </c>
      <c r="M248" s="13">
        <v>49553.279999999999</v>
      </c>
      <c r="N248" s="18">
        <v>18</v>
      </c>
      <c r="O248" s="21">
        <v>5</v>
      </c>
      <c r="P248" s="27" t="str">
        <f>IF(AND(Late_Orders[[#This Row],[Order_Status]]="Late", Late_Orders[[#This Row],[Shipment_Delay]]&gt;=5),"Yes","No")</f>
        <v>Yes</v>
      </c>
    </row>
    <row r="249" spans="1:16" x14ac:dyDescent="0.25">
      <c r="A249" s="12" t="s">
        <v>591</v>
      </c>
      <c r="B249" s="13" t="s">
        <v>56</v>
      </c>
      <c r="C249" s="13" t="s">
        <v>43</v>
      </c>
      <c r="D249" s="13" t="s">
        <v>22</v>
      </c>
      <c r="E249" s="13" t="s">
        <v>31</v>
      </c>
      <c r="F249" s="23">
        <v>45770</v>
      </c>
      <c r="G249" s="23">
        <v>45779</v>
      </c>
      <c r="H249" s="23">
        <v>45780</v>
      </c>
      <c r="I249" s="23">
        <v>45783</v>
      </c>
      <c r="J249" s="13" t="s">
        <v>27</v>
      </c>
      <c r="K249" s="18">
        <v>168</v>
      </c>
      <c r="L249" s="13">
        <v>794.26</v>
      </c>
      <c r="M249" s="13">
        <v>133435.68</v>
      </c>
      <c r="N249" s="18">
        <v>10</v>
      </c>
      <c r="O249" s="21">
        <v>1</v>
      </c>
      <c r="P249" s="27" t="str">
        <f>IF(AND(Late_Orders[[#This Row],[Order_Status]]="Late", Late_Orders[[#This Row],[Shipment_Delay]]&gt;=5),"Yes","No")</f>
        <v>No</v>
      </c>
    </row>
    <row r="250" spans="1:16" x14ac:dyDescent="0.25">
      <c r="A250" s="12" t="s">
        <v>596</v>
      </c>
      <c r="B250" s="13" t="s">
        <v>38</v>
      </c>
      <c r="C250" s="13" t="s">
        <v>51</v>
      </c>
      <c r="D250" s="13" t="s">
        <v>17</v>
      </c>
      <c r="E250" s="13" t="s">
        <v>31</v>
      </c>
      <c r="F250" s="23">
        <v>45712</v>
      </c>
      <c r="G250" s="23">
        <v>45721</v>
      </c>
      <c r="H250" s="23">
        <v>45726</v>
      </c>
      <c r="I250" s="23">
        <v>45727</v>
      </c>
      <c r="J250" s="13" t="s">
        <v>27</v>
      </c>
      <c r="K250" s="18">
        <v>102</v>
      </c>
      <c r="L250" s="13">
        <v>616.37</v>
      </c>
      <c r="M250" s="13">
        <v>62869.74</v>
      </c>
      <c r="N250" s="18">
        <v>14</v>
      </c>
      <c r="O250" s="21">
        <v>5</v>
      </c>
      <c r="P250" s="27" t="str">
        <f>IF(AND(Late_Orders[[#This Row],[Order_Status]]="Late", Late_Orders[[#This Row],[Shipment_Delay]]&gt;=5),"Yes","No")</f>
        <v>Yes</v>
      </c>
    </row>
    <row r="251" spans="1:16" x14ac:dyDescent="0.25">
      <c r="A251" s="12" t="s">
        <v>597</v>
      </c>
      <c r="B251" s="13" t="s">
        <v>38</v>
      </c>
      <c r="C251" s="13" t="s">
        <v>51</v>
      </c>
      <c r="D251" s="13" t="s">
        <v>17</v>
      </c>
      <c r="E251" s="13" t="s">
        <v>18</v>
      </c>
      <c r="F251" s="23">
        <v>45715</v>
      </c>
      <c r="G251" s="23">
        <v>45725</v>
      </c>
      <c r="H251" s="23">
        <v>45730</v>
      </c>
      <c r="I251" s="23">
        <v>45731</v>
      </c>
      <c r="J251" s="13" t="s">
        <v>27</v>
      </c>
      <c r="K251" s="18">
        <v>67</v>
      </c>
      <c r="L251" s="13">
        <v>448.12</v>
      </c>
      <c r="M251" s="13">
        <v>30024.04</v>
      </c>
      <c r="N251" s="18">
        <v>15</v>
      </c>
      <c r="O251" s="21">
        <v>5</v>
      </c>
      <c r="P251" s="27" t="str">
        <f>IF(AND(Late_Orders[[#This Row],[Order_Status]]="Late", Late_Orders[[#This Row],[Shipment_Delay]]&gt;=5),"Yes","No")</f>
        <v>Yes</v>
      </c>
    </row>
    <row r="252" spans="1:16" x14ac:dyDescent="0.25">
      <c r="A252" s="12" t="s">
        <v>599</v>
      </c>
      <c r="B252" s="13" t="s">
        <v>53</v>
      </c>
      <c r="C252" s="13" t="s">
        <v>16</v>
      </c>
      <c r="D252" s="13" t="s">
        <v>17</v>
      </c>
      <c r="E252" s="13" t="s">
        <v>31</v>
      </c>
      <c r="F252" s="23">
        <v>45712</v>
      </c>
      <c r="G252" s="23">
        <v>45719</v>
      </c>
      <c r="H252" s="23">
        <v>45721</v>
      </c>
      <c r="I252" s="23">
        <v>45722</v>
      </c>
      <c r="J252" s="13" t="s">
        <v>27</v>
      </c>
      <c r="K252" s="18">
        <v>41</v>
      </c>
      <c r="L252" s="13">
        <v>402.09</v>
      </c>
      <c r="M252" s="13">
        <v>16485.689999999999</v>
      </c>
      <c r="N252" s="18">
        <v>9</v>
      </c>
      <c r="O252" s="21">
        <v>2</v>
      </c>
      <c r="P252" s="27" t="str">
        <f>IF(AND(Late_Orders[[#This Row],[Order_Status]]="Late", Late_Orders[[#This Row],[Shipment_Delay]]&gt;=5),"Yes","No")</f>
        <v>No</v>
      </c>
    </row>
    <row r="253" spans="1:16" x14ac:dyDescent="0.25">
      <c r="A253" s="12" t="s">
        <v>603</v>
      </c>
      <c r="B253" s="13" t="s">
        <v>78</v>
      </c>
      <c r="C253" s="13" t="s">
        <v>43</v>
      </c>
      <c r="D253" s="13" t="s">
        <v>22</v>
      </c>
      <c r="E253" s="13" t="s">
        <v>26</v>
      </c>
      <c r="F253" s="23">
        <v>45706</v>
      </c>
      <c r="G253" s="23">
        <v>45709</v>
      </c>
      <c r="H253" s="23">
        <v>45714</v>
      </c>
      <c r="I253" s="23">
        <v>45716</v>
      </c>
      <c r="J253" s="13" t="s">
        <v>27</v>
      </c>
      <c r="K253" s="18">
        <v>149</v>
      </c>
      <c r="L253" s="13">
        <v>742.54</v>
      </c>
      <c r="M253" s="13">
        <v>110638.46</v>
      </c>
      <c r="N253" s="18">
        <v>8</v>
      </c>
      <c r="O253" s="21">
        <v>5</v>
      </c>
      <c r="P253" s="27" t="str">
        <f>IF(AND(Late_Orders[[#This Row],[Order_Status]]="Late", Late_Orders[[#This Row],[Shipment_Delay]]&gt;=5),"Yes","No")</f>
        <v>Yes</v>
      </c>
    </row>
    <row r="254" spans="1:16" x14ac:dyDescent="0.25">
      <c r="A254" s="12" t="s">
        <v>606</v>
      </c>
      <c r="B254" s="13" t="s">
        <v>48</v>
      </c>
      <c r="C254" s="13" t="s">
        <v>51</v>
      </c>
      <c r="D254" s="13" t="s">
        <v>22</v>
      </c>
      <c r="E254" s="13" t="s">
        <v>63</v>
      </c>
      <c r="F254" s="23">
        <v>45688</v>
      </c>
      <c r="G254" s="23">
        <v>45694</v>
      </c>
      <c r="H254" s="23">
        <v>45696</v>
      </c>
      <c r="I254" s="23">
        <v>45700</v>
      </c>
      <c r="J254" s="13" t="s">
        <v>27</v>
      </c>
      <c r="K254" s="18">
        <v>118</v>
      </c>
      <c r="L254" s="13">
        <v>81.3</v>
      </c>
      <c r="M254" s="13">
        <v>9593.4</v>
      </c>
      <c r="N254" s="18">
        <v>8</v>
      </c>
      <c r="O254" s="21">
        <v>2</v>
      </c>
      <c r="P254" s="27" t="str">
        <f>IF(AND(Late_Orders[[#This Row],[Order_Status]]="Late", Late_Orders[[#This Row],[Shipment_Delay]]&gt;=5),"Yes","No")</f>
        <v>No</v>
      </c>
    </row>
    <row r="255" spans="1:16" x14ac:dyDescent="0.25">
      <c r="A255" s="12" t="s">
        <v>607</v>
      </c>
      <c r="B255" s="13" t="s">
        <v>78</v>
      </c>
      <c r="C255" s="13" t="s">
        <v>51</v>
      </c>
      <c r="D255" s="13" t="s">
        <v>59</v>
      </c>
      <c r="E255" s="13" t="s">
        <v>31</v>
      </c>
      <c r="F255" s="23">
        <v>45693</v>
      </c>
      <c r="G255" s="23">
        <v>45705</v>
      </c>
      <c r="H255" s="23">
        <v>45708</v>
      </c>
      <c r="I255" s="23">
        <v>45713</v>
      </c>
      <c r="J255" s="13" t="s">
        <v>27</v>
      </c>
      <c r="K255" s="18">
        <v>58</v>
      </c>
      <c r="L255" s="13">
        <v>55.85</v>
      </c>
      <c r="M255" s="13">
        <v>3239.3</v>
      </c>
      <c r="N255" s="18">
        <v>15</v>
      </c>
      <c r="O255" s="21">
        <v>3</v>
      </c>
      <c r="P255" s="27" t="str">
        <f>IF(AND(Late_Orders[[#This Row],[Order_Status]]="Late", Late_Orders[[#This Row],[Shipment_Delay]]&gt;=5),"Yes","No")</f>
        <v>No</v>
      </c>
    </row>
    <row r="256" spans="1:16" x14ac:dyDescent="0.25">
      <c r="A256" s="12" t="s">
        <v>608</v>
      </c>
      <c r="B256" s="13" t="s">
        <v>42</v>
      </c>
      <c r="C256" s="13" t="s">
        <v>51</v>
      </c>
      <c r="D256" s="13" t="s">
        <v>35</v>
      </c>
      <c r="E256" s="13" t="s">
        <v>18</v>
      </c>
      <c r="F256" s="23">
        <v>45676</v>
      </c>
      <c r="G256" s="23">
        <v>45679</v>
      </c>
      <c r="H256" s="23">
        <v>45682</v>
      </c>
      <c r="I256" s="23">
        <v>45687</v>
      </c>
      <c r="J256" s="13" t="s">
        <v>27</v>
      </c>
      <c r="K256" s="18">
        <v>81</v>
      </c>
      <c r="L256" s="13">
        <v>291.48</v>
      </c>
      <c r="M256" s="13">
        <v>23609.88</v>
      </c>
      <c r="N256" s="18">
        <v>6</v>
      </c>
      <c r="O256" s="21">
        <v>3</v>
      </c>
      <c r="P256" s="27" t="str">
        <f>IF(AND(Late_Orders[[#This Row],[Order_Status]]="Late", Late_Orders[[#This Row],[Shipment_Delay]]&gt;=5),"Yes","No")</f>
        <v>No</v>
      </c>
    </row>
    <row r="257" spans="1:16" x14ac:dyDescent="0.25">
      <c r="A257" s="12" t="s">
        <v>609</v>
      </c>
      <c r="B257" s="13" t="s">
        <v>48</v>
      </c>
      <c r="C257" s="13" t="s">
        <v>43</v>
      </c>
      <c r="D257" s="13" t="s">
        <v>39</v>
      </c>
      <c r="E257" s="13" t="s">
        <v>40</v>
      </c>
      <c r="F257" s="23">
        <v>45680</v>
      </c>
      <c r="G257" s="23">
        <v>45685</v>
      </c>
      <c r="H257" s="23">
        <v>45688</v>
      </c>
      <c r="I257" s="23">
        <v>45691</v>
      </c>
      <c r="J257" s="13" t="s">
        <v>27</v>
      </c>
      <c r="K257" s="18">
        <v>182</v>
      </c>
      <c r="L257" s="13">
        <v>599.37</v>
      </c>
      <c r="M257" s="13">
        <v>109085.34</v>
      </c>
      <c r="N257" s="18">
        <v>8</v>
      </c>
      <c r="O257" s="21">
        <v>3</v>
      </c>
      <c r="P257" s="27" t="str">
        <f>IF(AND(Late_Orders[[#This Row],[Order_Status]]="Late", Late_Orders[[#This Row],[Shipment_Delay]]&gt;=5),"Yes","No")</f>
        <v>No</v>
      </c>
    </row>
    <row r="258" spans="1:16" x14ac:dyDescent="0.25">
      <c r="A258" s="12" t="s">
        <v>611</v>
      </c>
      <c r="B258" s="13" t="s">
        <v>45</v>
      </c>
      <c r="C258" s="13" t="s">
        <v>51</v>
      </c>
      <c r="D258" s="13" t="s">
        <v>35</v>
      </c>
      <c r="E258" s="13" t="s">
        <v>63</v>
      </c>
      <c r="F258" s="23">
        <v>45675</v>
      </c>
      <c r="G258" s="23">
        <v>45679</v>
      </c>
      <c r="H258" s="23">
        <v>45682</v>
      </c>
      <c r="I258" s="23">
        <v>45685</v>
      </c>
      <c r="J258" s="13" t="s">
        <v>27</v>
      </c>
      <c r="K258" s="18">
        <v>110</v>
      </c>
      <c r="L258" s="13">
        <v>453.08</v>
      </c>
      <c r="M258" s="13">
        <v>49838.8</v>
      </c>
      <c r="N258" s="18">
        <v>7</v>
      </c>
      <c r="O258" s="21">
        <v>3</v>
      </c>
      <c r="P258" s="27" t="str">
        <f>IF(AND(Late_Orders[[#This Row],[Order_Status]]="Late", Late_Orders[[#This Row],[Shipment_Delay]]&gt;=5),"Yes","No")</f>
        <v>No</v>
      </c>
    </row>
    <row r="259" spans="1:16" x14ac:dyDescent="0.25">
      <c r="A259" s="12" t="s">
        <v>612</v>
      </c>
      <c r="B259" s="13" t="s">
        <v>56</v>
      </c>
      <c r="C259" s="13" t="s">
        <v>21</v>
      </c>
      <c r="D259" s="13" t="s">
        <v>17</v>
      </c>
      <c r="E259" s="13" t="s">
        <v>57</v>
      </c>
      <c r="F259" s="23">
        <v>45751</v>
      </c>
      <c r="G259" s="23">
        <v>45764</v>
      </c>
      <c r="H259" s="23">
        <v>45766</v>
      </c>
      <c r="I259" s="23">
        <v>45767</v>
      </c>
      <c r="J259" s="13" t="s">
        <v>27</v>
      </c>
      <c r="K259" s="18">
        <v>181</v>
      </c>
      <c r="L259" s="13">
        <v>519.99</v>
      </c>
      <c r="M259" s="13">
        <v>94118.19</v>
      </c>
      <c r="N259" s="18">
        <v>15</v>
      </c>
      <c r="O259" s="21">
        <v>2</v>
      </c>
      <c r="P259" s="27" t="str">
        <f>IF(AND(Late_Orders[[#This Row],[Order_Status]]="Late", Late_Orders[[#This Row],[Shipment_Delay]]&gt;=5),"Yes","No")</f>
        <v>No</v>
      </c>
    </row>
    <row r="260" spans="1:16" x14ac:dyDescent="0.25">
      <c r="A260" s="12" t="s">
        <v>613</v>
      </c>
      <c r="B260" s="13" t="s">
        <v>53</v>
      </c>
      <c r="C260" s="13" t="s">
        <v>30</v>
      </c>
      <c r="D260" s="13" t="s">
        <v>39</v>
      </c>
      <c r="E260" s="13" t="s">
        <v>26</v>
      </c>
      <c r="F260" s="23">
        <v>45691</v>
      </c>
      <c r="G260" s="23">
        <v>45702</v>
      </c>
      <c r="H260" s="23">
        <v>45704</v>
      </c>
      <c r="I260" s="23">
        <v>45709</v>
      </c>
      <c r="J260" s="13" t="s">
        <v>27</v>
      </c>
      <c r="K260" s="18">
        <v>38</v>
      </c>
      <c r="L260" s="13">
        <v>527.92999999999995</v>
      </c>
      <c r="M260" s="13">
        <v>20061.34</v>
      </c>
      <c r="N260" s="18">
        <v>13</v>
      </c>
      <c r="O260" s="21">
        <v>2</v>
      </c>
      <c r="P260" s="27" t="str">
        <f>IF(AND(Late_Orders[[#This Row],[Order_Status]]="Late", Late_Orders[[#This Row],[Shipment_Delay]]&gt;=5),"Yes","No")</f>
        <v>No</v>
      </c>
    </row>
    <row r="261" spans="1:16" x14ac:dyDescent="0.25">
      <c r="A261" s="12" t="s">
        <v>617</v>
      </c>
      <c r="B261" s="13" t="s">
        <v>53</v>
      </c>
      <c r="C261" s="13" t="s">
        <v>43</v>
      </c>
      <c r="D261" s="13" t="s">
        <v>39</v>
      </c>
      <c r="E261" s="13" t="s">
        <v>63</v>
      </c>
      <c r="F261" s="23">
        <v>45700</v>
      </c>
      <c r="G261" s="23">
        <v>45708</v>
      </c>
      <c r="H261" s="23">
        <v>45711</v>
      </c>
      <c r="I261" s="23">
        <v>45715</v>
      </c>
      <c r="J261" s="13" t="s">
        <v>27</v>
      </c>
      <c r="K261" s="18">
        <v>14</v>
      </c>
      <c r="L261" s="13">
        <v>554.12</v>
      </c>
      <c r="M261" s="13">
        <v>7757.68</v>
      </c>
      <c r="N261" s="18">
        <v>11</v>
      </c>
      <c r="O261" s="21">
        <v>3</v>
      </c>
      <c r="P261" s="27" t="str">
        <f>IF(AND(Late_Orders[[#This Row],[Order_Status]]="Late", Late_Orders[[#This Row],[Shipment_Delay]]&gt;=5),"Yes","No")</f>
        <v>No</v>
      </c>
    </row>
    <row r="262" spans="1:16" x14ac:dyDescent="0.25">
      <c r="A262" s="12" t="s">
        <v>618</v>
      </c>
      <c r="B262" s="13" t="s">
        <v>56</v>
      </c>
      <c r="C262" s="13" t="s">
        <v>46</v>
      </c>
      <c r="D262" s="13" t="s">
        <v>17</v>
      </c>
      <c r="E262" s="13" t="s">
        <v>63</v>
      </c>
      <c r="F262" s="23">
        <v>45772</v>
      </c>
      <c r="G262" s="23">
        <v>45780</v>
      </c>
      <c r="H262" s="23">
        <v>45781</v>
      </c>
      <c r="I262" s="23">
        <v>45785</v>
      </c>
      <c r="J262" s="13" t="s">
        <v>27</v>
      </c>
      <c r="K262" s="18">
        <v>19</v>
      </c>
      <c r="L262" s="13">
        <v>712.31</v>
      </c>
      <c r="M262" s="13">
        <v>13533.89</v>
      </c>
      <c r="N262" s="18">
        <v>9</v>
      </c>
      <c r="O262" s="21">
        <v>1</v>
      </c>
      <c r="P262" s="27" t="str">
        <f>IF(AND(Late_Orders[[#This Row],[Order_Status]]="Late", Late_Orders[[#This Row],[Shipment_Delay]]&gt;=5),"Yes","No")</f>
        <v>No</v>
      </c>
    </row>
    <row r="263" spans="1:16" x14ac:dyDescent="0.25">
      <c r="A263" s="12" t="s">
        <v>619</v>
      </c>
      <c r="B263" s="13" t="s">
        <v>78</v>
      </c>
      <c r="C263" s="13" t="s">
        <v>25</v>
      </c>
      <c r="D263" s="13" t="s">
        <v>35</v>
      </c>
      <c r="E263" s="13" t="s">
        <v>57</v>
      </c>
      <c r="F263" s="23">
        <v>45660</v>
      </c>
      <c r="G263" s="23">
        <v>45666</v>
      </c>
      <c r="H263" s="23">
        <v>45668</v>
      </c>
      <c r="I263" s="23">
        <v>45671</v>
      </c>
      <c r="J263" s="13" t="s">
        <v>27</v>
      </c>
      <c r="K263" s="18">
        <v>95</v>
      </c>
      <c r="L263" s="13">
        <v>70.290000000000006</v>
      </c>
      <c r="M263" s="13">
        <v>6677.55</v>
      </c>
      <c r="N263" s="18">
        <v>8</v>
      </c>
      <c r="O263" s="21">
        <v>2</v>
      </c>
      <c r="P263" s="27" t="str">
        <f>IF(AND(Late_Orders[[#This Row],[Order_Status]]="Late", Late_Orders[[#This Row],[Shipment_Delay]]&gt;=5),"Yes","No")</f>
        <v>No</v>
      </c>
    </row>
    <row r="264" spans="1:16" x14ac:dyDescent="0.25">
      <c r="A264" s="12" t="s">
        <v>620</v>
      </c>
      <c r="B264" s="13" t="s">
        <v>42</v>
      </c>
      <c r="C264" s="13" t="s">
        <v>25</v>
      </c>
      <c r="D264" s="13" t="s">
        <v>59</v>
      </c>
      <c r="E264" s="13" t="s">
        <v>40</v>
      </c>
      <c r="F264" s="23">
        <v>45706</v>
      </c>
      <c r="G264" s="23">
        <v>45719</v>
      </c>
      <c r="H264" s="23">
        <v>45721</v>
      </c>
      <c r="I264" s="23">
        <v>45723</v>
      </c>
      <c r="J264" s="13" t="s">
        <v>27</v>
      </c>
      <c r="K264" s="18">
        <v>104</v>
      </c>
      <c r="L264" s="13">
        <v>171.46</v>
      </c>
      <c r="M264" s="13">
        <v>17831.84</v>
      </c>
      <c r="N264" s="18">
        <v>15</v>
      </c>
      <c r="O264" s="21">
        <v>2</v>
      </c>
      <c r="P264" s="27" t="str">
        <f>IF(AND(Late_Orders[[#This Row],[Order_Status]]="Late", Late_Orders[[#This Row],[Shipment_Delay]]&gt;=5),"Yes","No")</f>
        <v>No</v>
      </c>
    </row>
    <row r="265" spans="1:16" x14ac:dyDescent="0.25">
      <c r="A265" s="12" t="s">
        <v>621</v>
      </c>
      <c r="B265" s="13" t="s">
        <v>56</v>
      </c>
      <c r="C265" s="13" t="s">
        <v>34</v>
      </c>
      <c r="D265" s="13" t="s">
        <v>17</v>
      </c>
      <c r="E265" s="13" t="s">
        <v>57</v>
      </c>
      <c r="F265" s="23">
        <v>45662</v>
      </c>
      <c r="G265" s="23">
        <v>45669</v>
      </c>
      <c r="H265" s="23">
        <v>45670</v>
      </c>
      <c r="I265" s="23">
        <v>45671</v>
      </c>
      <c r="J265" s="13" t="s">
        <v>27</v>
      </c>
      <c r="K265" s="18">
        <v>65</v>
      </c>
      <c r="L265" s="13">
        <v>325.27</v>
      </c>
      <c r="M265" s="13">
        <v>21142.55</v>
      </c>
      <c r="N265" s="18">
        <v>8</v>
      </c>
      <c r="O265" s="21">
        <v>1</v>
      </c>
      <c r="P265" s="27" t="str">
        <f>IF(AND(Late_Orders[[#This Row],[Order_Status]]="Late", Late_Orders[[#This Row],[Shipment_Delay]]&gt;=5),"Yes","No")</f>
        <v>No</v>
      </c>
    </row>
    <row r="266" spans="1:16" x14ac:dyDescent="0.25">
      <c r="A266" s="12" t="s">
        <v>623</v>
      </c>
      <c r="B266" s="13" t="s">
        <v>42</v>
      </c>
      <c r="C266" s="13" t="s">
        <v>43</v>
      </c>
      <c r="D266" s="13" t="s">
        <v>22</v>
      </c>
      <c r="E266" s="13" t="s">
        <v>40</v>
      </c>
      <c r="F266" s="23">
        <v>45776</v>
      </c>
      <c r="G266" s="23">
        <v>45786</v>
      </c>
      <c r="H266" s="23">
        <v>45789</v>
      </c>
      <c r="I266" s="23">
        <v>45794</v>
      </c>
      <c r="J266" s="13" t="s">
        <v>27</v>
      </c>
      <c r="K266" s="18">
        <v>88</v>
      </c>
      <c r="L266" s="13">
        <v>134.65</v>
      </c>
      <c r="M266" s="13">
        <v>11849.2</v>
      </c>
      <c r="N266" s="18">
        <v>13</v>
      </c>
      <c r="O266" s="21">
        <v>3</v>
      </c>
      <c r="P266" s="27" t="str">
        <f>IF(AND(Late_Orders[[#This Row],[Order_Status]]="Late", Late_Orders[[#This Row],[Shipment_Delay]]&gt;=5),"Yes","No")</f>
        <v>No</v>
      </c>
    </row>
    <row r="267" spans="1:16" x14ac:dyDescent="0.25">
      <c r="A267" s="12" t="s">
        <v>626</v>
      </c>
      <c r="B267" s="13" t="s">
        <v>78</v>
      </c>
      <c r="C267" s="13" t="s">
        <v>43</v>
      </c>
      <c r="D267" s="13" t="s">
        <v>59</v>
      </c>
      <c r="E267" s="13" t="s">
        <v>31</v>
      </c>
      <c r="F267" s="23">
        <v>45694</v>
      </c>
      <c r="G267" s="23">
        <v>45701</v>
      </c>
      <c r="H267" s="23">
        <v>45703</v>
      </c>
      <c r="I267" s="23">
        <v>45706</v>
      </c>
      <c r="J267" s="13" t="s">
        <v>27</v>
      </c>
      <c r="K267" s="18">
        <v>176</v>
      </c>
      <c r="L267" s="13">
        <v>113.24</v>
      </c>
      <c r="M267" s="13">
        <v>19930.240000000002</v>
      </c>
      <c r="N267" s="18">
        <v>9</v>
      </c>
      <c r="O267" s="21">
        <v>2</v>
      </c>
      <c r="P267" s="27" t="str">
        <f>IF(AND(Late_Orders[[#This Row],[Order_Status]]="Late", Late_Orders[[#This Row],[Shipment_Delay]]&gt;=5),"Yes","No")</f>
        <v>No</v>
      </c>
    </row>
    <row r="268" spans="1:16" x14ac:dyDescent="0.25">
      <c r="A268" s="12" t="s">
        <v>630</v>
      </c>
      <c r="B268" s="13" t="s">
        <v>45</v>
      </c>
      <c r="C268" s="13" t="s">
        <v>16</v>
      </c>
      <c r="D268" s="13" t="s">
        <v>39</v>
      </c>
      <c r="E268" s="13" t="s">
        <v>63</v>
      </c>
      <c r="F268" s="23">
        <v>45738</v>
      </c>
      <c r="G268" s="23">
        <v>45752</v>
      </c>
      <c r="H268" s="23">
        <v>45755</v>
      </c>
      <c r="I268" s="23">
        <v>45759</v>
      </c>
      <c r="J268" s="13" t="s">
        <v>27</v>
      </c>
      <c r="K268" s="18">
        <v>84</v>
      </c>
      <c r="L268" s="13">
        <v>292.5</v>
      </c>
      <c r="M268" s="13">
        <v>24570</v>
      </c>
      <c r="N268" s="18">
        <v>17</v>
      </c>
      <c r="O268" s="21">
        <v>3</v>
      </c>
      <c r="P268" s="27" t="str">
        <f>IF(AND(Late_Orders[[#This Row],[Order_Status]]="Late", Late_Orders[[#This Row],[Shipment_Delay]]&gt;=5),"Yes","No")</f>
        <v>No</v>
      </c>
    </row>
    <row r="269" spans="1:16" x14ac:dyDescent="0.25">
      <c r="A269" s="12" t="s">
        <v>634</v>
      </c>
      <c r="B269" s="13" t="s">
        <v>56</v>
      </c>
      <c r="C269" s="13" t="s">
        <v>30</v>
      </c>
      <c r="D269" s="13" t="s">
        <v>39</v>
      </c>
      <c r="E269" s="13" t="s">
        <v>63</v>
      </c>
      <c r="F269" s="23">
        <v>45709</v>
      </c>
      <c r="G269" s="23">
        <v>45723</v>
      </c>
      <c r="H269" s="23">
        <v>45728</v>
      </c>
      <c r="I269" s="23">
        <v>45729</v>
      </c>
      <c r="J269" s="13" t="s">
        <v>27</v>
      </c>
      <c r="K269" s="18">
        <v>171</v>
      </c>
      <c r="L269" s="13">
        <v>74.22</v>
      </c>
      <c r="M269" s="13">
        <v>12691.62</v>
      </c>
      <c r="N269" s="18">
        <v>19</v>
      </c>
      <c r="O269" s="21">
        <v>5</v>
      </c>
      <c r="P269" s="27" t="str">
        <f>IF(AND(Late_Orders[[#This Row],[Order_Status]]="Late", Late_Orders[[#This Row],[Shipment_Delay]]&gt;=5),"Yes","No")</f>
        <v>Yes</v>
      </c>
    </row>
    <row r="270" spans="1:16" x14ac:dyDescent="0.25">
      <c r="A270" s="12" t="s">
        <v>635</v>
      </c>
      <c r="B270" s="13" t="s">
        <v>24</v>
      </c>
      <c r="C270" s="13" t="s">
        <v>34</v>
      </c>
      <c r="D270" s="13" t="s">
        <v>17</v>
      </c>
      <c r="E270" s="13" t="s">
        <v>18</v>
      </c>
      <c r="F270" s="23">
        <v>45710</v>
      </c>
      <c r="G270" s="23">
        <v>45716</v>
      </c>
      <c r="H270" s="23">
        <v>45718</v>
      </c>
      <c r="I270" s="23">
        <v>45720</v>
      </c>
      <c r="J270" s="13" t="s">
        <v>27</v>
      </c>
      <c r="K270" s="18">
        <v>128</v>
      </c>
      <c r="L270" s="13">
        <v>335.49</v>
      </c>
      <c r="M270" s="13">
        <v>42942.720000000001</v>
      </c>
      <c r="N270" s="18">
        <v>8</v>
      </c>
      <c r="O270" s="21">
        <v>2</v>
      </c>
      <c r="P270" s="27" t="str">
        <f>IF(AND(Late_Orders[[#This Row],[Order_Status]]="Late", Late_Orders[[#This Row],[Shipment_Delay]]&gt;=5),"Yes","No")</f>
        <v>No</v>
      </c>
    </row>
    <row r="271" spans="1:16" x14ac:dyDescent="0.25">
      <c r="A271" s="12" t="s">
        <v>636</v>
      </c>
      <c r="B271" s="13" t="s">
        <v>42</v>
      </c>
      <c r="C271" s="13" t="s">
        <v>30</v>
      </c>
      <c r="D271" s="13" t="s">
        <v>35</v>
      </c>
      <c r="E271" s="13" t="s">
        <v>63</v>
      </c>
      <c r="F271" s="23">
        <v>45758</v>
      </c>
      <c r="G271" s="23">
        <v>45767</v>
      </c>
      <c r="H271" s="23">
        <v>45769</v>
      </c>
      <c r="I271" s="23">
        <v>45772</v>
      </c>
      <c r="J271" s="13" t="s">
        <v>27</v>
      </c>
      <c r="K271" s="18">
        <v>65</v>
      </c>
      <c r="L271" s="13">
        <v>159.53</v>
      </c>
      <c r="M271" s="13">
        <v>10369.450000000001</v>
      </c>
      <c r="N271" s="18">
        <v>11</v>
      </c>
      <c r="O271" s="21">
        <v>2</v>
      </c>
      <c r="P271" s="27" t="str">
        <f>IF(AND(Late_Orders[[#This Row],[Order_Status]]="Late", Late_Orders[[#This Row],[Shipment_Delay]]&gt;=5),"Yes","No")</f>
        <v>No</v>
      </c>
    </row>
    <row r="272" spans="1:16" x14ac:dyDescent="0.25">
      <c r="A272" s="12" t="s">
        <v>638</v>
      </c>
      <c r="B272" s="13" t="s">
        <v>42</v>
      </c>
      <c r="C272" s="13" t="s">
        <v>34</v>
      </c>
      <c r="D272" s="13" t="s">
        <v>22</v>
      </c>
      <c r="E272" s="13" t="s">
        <v>63</v>
      </c>
      <c r="F272" s="23">
        <v>45745</v>
      </c>
      <c r="G272" s="23">
        <v>45757</v>
      </c>
      <c r="H272" s="23">
        <v>45762</v>
      </c>
      <c r="I272" s="23">
        <v>45766</v>
      </c>
      <c r="J272" s="13" t="s">
        <v>27</v>
      </c>
      <c r="K272" s="18">
        <v>170</v>
      </c>
      <c r="L272" s="13">
        <v>566.24</v>
      </c>
      <c r="M272" s="13">
        <v>96260.800000000003</v>
      </c>
      <c r="N272" s="18">
        <v>17</v>
      </c>
      <c r="O272" s="21">
        <v>5</v>
      </c>
      <c r="P272" s="27" t="str">
        <f>IF(AND(Late_Orders[[#This Row],[Order_Status]]="Late", Late_Orders[[#This Row],[Shipment_Delay]]&gt;=5),"Yes","No")</f>
        <v>Yes</v>
      </c>
    </row>
    <row r="273" spans="1:16" x14ac:dyDescent="0.25">
      <c r="A273" s="12" t="s">
        <v>639</v>
      </c>
      <c r="B273" s="13" t="s">
        <v>15</v>
      </c>
      <c r="C273" s="13" t="s">
        <v>25</v>
      </c>
      <c r="D273" s="13" t="s">
        <v>39</v>
      </c>
      <c r="E273" s="13" t="s">
        <v>63</v>
      </c>
      <c r="F273" s="23">
        <v>45773</v>
      </c>
      <c r="G273" s="23">
        <v>45788</v>
      </c>
      <c r="H273" s="23">
        <v>45791</v>
      </c>
      <c r="I273" s="23">
        <v>45792</v>
      </c>
      <c r="J273" s="13" t="s">
        <v>27</v>
      </c>
      <c r="K273" s="18">
        <v>174</v>
      </c>
      <c r="L273" s="13">
        <v>139.6</v>
      </c>
      <c r="M273" s="13">
        <v>24290.400000000001</v>
      </c>
      <c r="N273" s="18">
        <v>18</v>
      </c>
      <c r="O273" s="21">
        <v>3</v>
      </c>
      <c r="P273" s="27" t="str">
        <f>IF(AND(Late_Orders[[#This Row],[Order_Status]]="Late", Late_Orders[[#This Row],[Shipment_Delay]]&gt;=5),"Yes","No")</f>
        <v>No</v>
      </c>
    </row>
    <row r="274" spans="1:16" x14ac:dyDescent="0.25">
      <c r="A274" s="12" t="s">
        <v>641</v>
      </c>
      <c r="B274" s="13" t="s">
        <v>15</v>
      </c>
      <c r="C274" s="13" t="s">
        <v>51</v>
      </c>
      <c r="D274" s="13" t="s">
        <v>35</v>
      </c>
      <c r="E274" s="13" t="s">
        <v>40</v>
      </c>
      <c r="F274" s="23">
        <v>45659</v>
      </c>
      <c r="G274" s="23">
        <v>45671</v>
      </c>
      <c r="H274" s="23">
        <v>45673</v>
      </c>
      <c r="I274" s="23">
        <v>45677</v>
      </c>
      <c r="J274" s="13" t="s">
        <v>27</v>
      </c>
      <c r="K274" s="18">
        <v>80</v>
      </c>
      <c r="L274" s="13">
        <v>67.11</v>
      </c>
      <c r="M274" s="13">
        <v>5368.8</v>
      </c>
      <c r="N274" s="18">
        <v>14</v>
      </c>
      <c r="O274" s="21">
        <v>2</v>
      </c>
      <c r="P274" s="27" t="str">
        <f>IF(AND(Late_Orders[[#This Row],[Order_Status]]="Late", Late_Orders[[#This Row],[Shipment_Delay]]&gt;=5),"Yes","No")</f>
        <v>No</v>
      </c>
    </row>
    <row r="275" spans="1:16" x14ac:dyDescent="0.25">
      <c r="A275" s="12" t="s">
        <v>645</v>
      </c>
      <c r="B275" s="13" t="s">
        <v>38</v>
      </c>
      <c r="C275" s="13" t="s">
        <v>43</v>
      </c>
      <c r="D275" s="13" t="s">
        <v>39</v>
      </c>
      <c r="E275" s="13" t="s">
        <v>63</v>
      </c>
      <c r="F275" s="23">
        <v>45675</v>
      </c>
      <c r="G275" s="23">
        <v>45688</v>
      </c>
      <c r="H275" s="23">
        <v>45693</v>
      </c>
      <c r="I275" s="23">
        <v>45697</v>
      </c>
      <c r="J275" s="13" t="s">
        <v>27</v>
      </c>
      <c r="K275" s="18">
        <v>183</v>
      </c>
      <c r="L275" s="13">
        <v>519.70000000000005</v>
      </c>
      <c r="M275" s="13">
        <v>95105.1</v>
      </c>
      <c r="N275" s="18">
        <v>18</v>
      </c>
      <c r="O275" s="21">
        <v>5</v>
      </c>
      <c r="P275" s="27" t="str">
        <f>IF(AND(Late_Orders[[#This Row],[Order_Status]]="Late", Late_Orders[[#This Row],[Shipment_Delay]]&gt;=5),"Yes","No")</f>
        <v>Yes</v>
      </c>
    </row>
    <row r="276" spans="1:16" x14ac:dyDescent="0.25">
      <c r="A276" s="14" t="s">
        <v>646</v>
      </c>
      <c r="B276" s="15" t="s">
        <v>48</v>
      </c>
      <c r="C276" s="15" t="s">
        <v>51</v>
      </c>
      <c r="D276" s="15" t="s">
        <v>17</v>
      </c>
      <c r="E276" s="15" t="s">
        <v>18</v>
      </c>
      <c r="F276" s="24">
        <v>45712</v>
      </c>
      <c r="G276" s="24">
        <v>45723</v>
      </c>
      <c r="H276" s="24">
        <v>45728</v>
      </c>
      <c r="I276" s="24">
        <v>45732</v>
      </c>
      <c r="J276" s="15" t="s">
        <v>27</v>
      </c>
      <c r="K276" s="19">
        <v>62</v>
      </c>
      <c r="L276" s="15">
        <v>170.14</v>
      </c>
      <c r="M276" s="15">
        <v>10548.68</v>
      </c>
      <c r="N276" s="19">
        <v>16</v>
      </c>
      <c r="O276" s="22">
        <v>5</v>
      </c>
      <c r="P276" s="27" t="str">
        <f>IF(AND(Late_Orders[[#This Row],[Order_Status]]="Late", Late_Orders[[#This Row],[Shipment_Delay]]&gt;=5),"Yes","No")</f>
        <v>Yes</v>
      </c>
    </row>
    <row r="277" spans="1:1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Late Order Analysis</vt:lpstr>
      <vt:lpstr>DC Summary</vt:lpstr>
      <vt:lpstr>Orders</vt:lpstr>
      <vt:lpstr>Late 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justin tittle</cp:lastModifiedBy>
  <dcterms:created xsi:type="dcterms:W3CDTF">2026-04-17T12:20:20Z</dcterms:created>
  <dcterms:modified xsi:type="dcterms:W3CDTF">2026-04-19T18:02:29Z</dcterms:modified>
</cp:coreProperties>
</file>